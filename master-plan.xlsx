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career\VDT\GD2\upgrade_Ceph\"/>
    </mc:Choice>
  </mc:AlternateContent>
  <xr:revisionPtr revIDLastSave="0" documentId="13_ncr:1_{8BAEFDE5-3E9A-4545-A278-E2264436B0FB}" xr6:coauthVersionLast="47" xr6:coauthVersionMax="47" xr10:uidLastSave="{00000000-0000-0000-0000-000000000000}"/>
  <bookViews>
    <workbookView xWindow="-93" yWindow="-93" windowWidth="20666" windowHeight="12266" activeTab="1" xr2:uid="{00000000-000D-0000-FFFF-FFFF00000000}"/>
  </bookViews>
  <sheets>
    <sheet name="00_TongQuan" sheetId="1" r:id="rId1"/>
    <sheet name="01_KeHoach" sheetId="2" r:id="rId2"/>
    <sheet name="02_Gantt" sheetId="3" r:id="rId3"/>
    <sheet name="03_DanhMucTaiLieu" sheetId="4" r:id="rId4"/>
    <sheet name="04_DanhMucChecklist" sheetId="5" r:id="rId5"/>
    <sheet name="05_LabTest" sheetId="6" r:id="rId6"/>
    <sheet name="06_Workload_IO" sheetId="7" r:id="rId7"/>
    <sheet name="07_GO_NOGO" sheetId="8" r:id="rId8"/>
    <sheet name="08_RuiRo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9" l="1"/>
  <c r="F17" i="9" s="1"/>
  <c r="F16" i="9"/>
  <c r="E16" i="9"/>
  <c r="E15" i="9"/>
  <c r="F15" i="9" s="1"/>
  <c r="E14" i="9"/>
  <c r="F14" i="9" s="1"/>
  <c r="F13" i="9"/>
  <c r="E13" i="9"/>
  <c r="E12" i="9"/>
  <c r="F12" i="9" s="1"/>
  <c r="E11" i="9"/>
  <c r="F11" i="9" s="1"/>
  <c r="E10" i="9"/>
  <c r="F10" i="9" s="1"/>
  <c r="E9" i="9"/>
  <c r="F9" i="9" s="1"/>
  <c r="F8" i="9"/>
  <c r="E8" i="9"/>
  <c r="E7" i="9"/>
  <c r="F7" i="9" s="1"/>
  <c r="E6" i="9"/>
  <c r="F6" i="9" s="1"/>
  <c r="BA87" i="3"/>
  <c r="AY87" i="3"/>
  <c r="AX87" i="3"/>
  <c r="AW87" i="3"/>
  <c r="AQ87" i="3"/>
  <c r="AO87" i="3"/>
  <c r="AN87" i="3"/>
  <c r="AM87" i="3"/>
  <c r="AL87" i="3"/>
  <c r="AK87" i="3"/>
  <c r="AI87" i="3"/>
  <c r="Y87" i="3"/>
  <c r="W87" i="3"/>
  <c r="V87" i="3"/>
  <c r="U87" i="3"/>
  <c r="T87" i="3"/>
  <c r="S87" i="3"/>
  <c r="R87" i="3"/>
  <c r="Q87" i="3"/>
  <c r="K87" i="3"/>
  <c r="I87" i="3"/>
  <c r="G87" i="3"/>
  <c r="F87" i="3"/>
  <c r="E87" i="3"/>
  <c r="BB87" i="3" s="1"/>
  <c r="D87" i="3"/>
  <c r="C87" i="3"/>
  <c r="B87" i="3"/>
  <c r="A87" i="3"/>
  <c r="AY86" i="3"/>
  <c r="AW86" i="3"/>
  <c r="AV86" i="3"/>
  <c r="AU86" i="3"/>
  <c r="AT86" i="3"/>
  <c r="AS86" i="3"/>
  <c r="AR86" i="3"/>
  <c r="AQ86" i="3"/>
  <c r="AP86" i="3"/>
  <c r="AO86" i="3"/>
  <c r="AI86" i="3"/>
  <c r="AG86" i="3"/>
  <c r="AF86" i="3"/>
  <c r="AE86" i="3"/>
  <c r="AD86" i="3"/>
  <c r="AC86" i="3"/>
  <c r="AB86" i="3"/>
  <c r="AA86" i="3"/>
  <c r="Z86" i="3"/>
  <c r="Y86" i="3"/>
  <c r="S86" i="3"/>
  <c r="Q86" i="3"/>
  <c r="P86" i="3"/>
  <c r="O86" i="3"/>
  <c r="N86" i="3"/>
  <c r="M86" i="3"/>
  <c r="L86" i="3"/>
  <c r="K86" i="3"/>
  <c r="J86" i="3"/>
  <c r="I86" i="3"/>
  <c r="F86" i="3"/>
  <c r="BB86" i="3" s="1"/>
  <c r="E86" i="3"/>
  <c r="BD86" i="3" s="1"/>
  <c r="D86" i="3"/>
  <c r="C86" i="3"/>
  <c r="B86" i="3"/>
  <c r="A86" i="3"/>
  <c r="F85" i="3"/>
  <c r="E85" i="3"/>
  <c r="D85" i="3"/>
  <c r="C85" i="3"/>
  <c r="B85" i="3"/>
  <c r="A85" i="3"/>
  <c r="AY84" i="3"/>
  <c r="AW84" i="3"/>
  <c r="AV84" i="3"/>
  <c r="AU84" i="3"/>
  <c r="AT84" i="3"/>
  <c r="AS84" i="3"/>
  <c r="AR84" i="3"/>
  <c r="AQ84" i="3"/>
  <c r="AP84" i="3"/>
  <c r="AO84" i="3"/>
  <c r="AI84" i="3"/>
  <c r="AG84" i="3"/>
  <c r="AF84" i="3"/>
  <c r="AE84" i="3"/>
  <c r="AD84" i="3"/>
  <c r="AC84" i="3"/>
  <c r="AB84" i="3"/>
  <c r="AA84" i="3"/>
  <c r="Z84" i="3"/>
  <c r="Y84" i="3"/>
  <c r="S84" i="3"/>
  <c r="Q84" i="3"/>
  <c r="P84" i="3"/>
  <c r="O84" i="3"/>
  <c r="N84" i="3"/>
  <c r="M84" i="3"/>
  <c r="L84" i="3"/>
  <c r="K84" i="3"/>
  <c r="J84" i="3"/>
  <c r="I84" i="3"/>
  <c r="F84" i="3"/>
  <c r="BB84" i="3" s="1"/>
  <c r="E84" i="3"/>
  <c r="BD84" i="3" s="1"/>
  <c r="D84" i="3"/>
  <c r="C84" i="3"/>
  <c r="B84" i="3"/>
  <c r="A84" i="3"/>
  <c r="AY83" i="3"/>
  <c r="AW83" i="3"/>
  <c r="AQ83" i="3"/>
  <c r="AO83" i="3"/>
  <c r="AM83" i="3"/>
  <c r="AG83" i="3"/>
  <c r="AA83" i="3"/>
  <c r="Y83" i="3"/>
  <c r="X83" i="3"/>
  <c r="W83" i="3"/>
  <c r="V83" i="3"/>
  <c r="F83" i="3"/>
  <c r="E83" i="3"/>
  <c r="D83" i="3"/>
  <c r="C83" i="3"/>
  <c r="B83" i="3"/>
  <c r="A83" i="3"/>
  <c r="AY82" i="3"/>
  <c r="AW82" i="3"/>
  <c r="AV82" i="3"/>
  <c r="AU82" i="3"/>
  <c r="AT82" i="3"/>
  <c r="AS82" i="3"/>
  <c r="AR82" i="3"/>
  <c r="AQ82" i="3"/>
  <c r="AP82" i="3"/>
  <c r="AO82" i="3"/>
  <c r="AI82" i="3"/>
  <c r="AG82" i="3"/>
  <c r="AF82" i="3"/>
  <c r="AE82" i="3"/>
  <c r="AD82" i="3"/>
  <c r="AC82" i="3"/>
  <c r="AB82" i="3"/>
  <c r="AA82" i="3"/>
  <c r="Z82" i="3"/>
  <c r="Y82" i="3"/>
  <c r="S82" i="3"/>
  <c r="Q82" i="3"/>
  <c r="P82" i="3"/>
  <c r="O82" i="3"/>
  <c r="N82" i="3"/>
  <c r="M82" i="3"/>
  <c r="L82" i="3"/>
  <c r="K82" i="3"/>
  <c r="J82" i="3"/>
  <c r="I82" i="3"/>
  <c r="F82" i="3"/>
  <c r="BB82" i="3" s="1"/>
  <c r="E82" i="3"/>
  <c r="BD82" i="3" s="1"/>
  <c r="D82" i="3"/>
  <c r="C82" i="3"/>
  <c r="B82" i="3"/>
  <c r="A82" i="3"/>
  <c r="BC81" i="3"/>
  <c r="AW81" i="3"/>
  <c r="AO81" i="3"/>
  <c r="AN81" i="3"/>
  <c r="AL81" i="3"/>
  <c r="AK81" i="3"/>
  <c r="AJ81" i="3"/>
  <c r="AI81" i="3"/>
  <c r="AG81" i="3"/>
  <c r="U81" i="3"/>
  <c r="T81" i="3"/>
  <c r="S81" i="3"/>
  <c r="R81" i="3"/>
  <c r="Q81" i="3"/>
  <c r="K81" i="3"/>
  <c r="I81" i="3"/>
  <c r="G81" i="3"/>
  <c r="F81" i="3"/>
  <c r="E81" i="3"/>
  <c r="D81" i="3"/>
  <c r="C81" i="3"/>
  <c r="B81" i="3"/>
  <c r="A81" i="3"/>
  <c r="AY80" i="3"/>
  <c r="AW80" i="3"/>
  <c r="AV80" i="3"/>
  <c r="AU80" i="3"/>
  <c r="AT80" i="3"/>
  <c r="AS80" i="3"/>
  <c r="AR80" i="3"/>
  <c r="AQ80" i="3"/>
  <c r="AP80" i="3"/>
  <c r="AO80" i="3"/>
  <c r="AI80" i="3"/>
  <c r="AG80" i="3"/>
  <c r="AF80" i="3"/>
  <c r="AE80" i="3"/>
  <c r="AD80" i="3"/>
  <c r="AC80" i="3"/>
  <c r="AB80" i="3"/>
  <c r="AA80" i="3"/>
  <c r="Z80" i="3"/>
  <c r="Y80" i="3"/>
  <c r="S80" i="3"/>
  <c r="Q80" i="3"/>
  <c r="P80" i="3"/>
  <c r="O80" i="3"/>
  <c r="N80" i="3"/>
  <c r="M80" i="3"/>
  <c r="L80" i="3"/>
  <c r="K80" i="3"/>
  <c r="J80" i="3"/>
  <c r="I80" i="3"/>
  <c r="F80" i="3"/>
  <c r="BB80" i="3" s="1"/>
  <c r="E80" i="3"/>
  <c r="BD80" i="3" s="1"/>
  <c r="D80" i="3"/>
  <c r="C80" i="3"/>
  <c r="B80" i="3"/>
  <c r="A80" i="3"/>
  <c r="BD79" i="3"/>
  <c r="BC79" i="3"/>
  <c r="BB79" i="3"/>
  <c r="BA79" i="3"/>
  <c r="AK79" i="3"/>
  <c r="AJ79" i="3"/>
  <c r="AI79" i="3"/>
  <c r="AH79" i="3"/>
  <c r="AG79" i="3"/>
  <c r="AA79" i="3"/>
  <c r="Y79" i="3"/>
  <c r="X79" i="3"/>
  <c r="W79" i="3"/>
  <c r="U79" i="3"/>
  <c r="Q79" i="3"/>
  <c r="I79" i="3"/>
  <c r="F79" i="3"/>
  <c r="AY79" i="3" s="1"/>
  <c r="E79" i="3"/>
  <c r="D79" i="3"/>
  <c r="C79" i="3"/>
  <c r="B79" i="3"/>
  <c r="A79" i="3"/>
  <c r="AY78" i="3"/>
  <c r="AR78" i="3"/>
  <c r="AQ78" i="3"/>
  <c r="AP78" i="3"/>
  <c r="AO78" i="3"/>
  <c r="AL78" i="3"/>
  <c r="AI78" i="3"/>
  <c r="M78" i="3"/>
  <c r="K78" i="3"/>
  <c r="J78" i="3"/>
  <c r="F78" i="3"/>
  <c r="E78" i="3"/>
  <c r="D78" i="3"/>
  <c r="C78" i="3"/>
  <c r="B78" i="3"/>
  <c r="A78" i="3"/>
  <c r="G77" i="3"/>
  <c r="F77" i="3"/>
  <c r="E77" i="3"/>
  <c r="D77" i="3"/>
  <c r="C77" i="3"/>
  <c r="B77" i="3"/>
  <c r="A77" i="3"/>
  <c r="AQ76" i="3"/>
  <c r="AP76" i="3"/>
  <c r="AO76" i="3"/>
  <c r="AI76" i="3"/>
  <c r="AG76" i="3"/>
  <c r="AF76" i="3"/>
  <c r="AE76" i="3"/>
  <c r="AC76" i="3"/>
  <c r="Y76" i="3"/>
  <c r="L76" i="3"/>
  <c r="K76" i="3"/>
  <c r="J76" i="3"/>
  <c r="F76" i="3"/>
  <c r="E76" i="3"/>
  <c r="D76" i="3"/>
  <c r="C76" i="3"/>
  <c r="B76" i="3"/>
  <c r="A76" i="3"/>
  <c r="F75" i="3"/>
  <c r="E75" i="3"/>
  <c r="D75" i="3"/>
  <c r="C75" i="3"/>
  <c r="B75" i="3"/>
  <c r="A75" i="3"/>
  <c r="AY74" i="3"/>
  <c r="AT74" i="3"/>
  <c r="AG74" i="3"/>
  <c r="AF74" i="3"/>
  <c r="AE74" i="3"/>
  <c r="AC74" i="3"/>
  <c r="Y74" i="3"/>
  <c r="S74" i="3"/>
  <c r="Q74" i="3"/>
  <c r="P74" i="3"/>
  <c r="O74" i="3"/>
  <c r="N74" i="3"/>
  <c r="F74" i="3"/>
  <c r="AI74" i="3" s="1"/>
  <c r="E74" i="3"/>
  <c r="D74" i="3"/>
  <c r="C74" i="3"/>
  <c r="B74" i="3"/>
  <c r="A74" i="3"/>
  <c r="BD73" i="3"/>
  <c r="BB73" i="3"/>
  <c r="BA73" i="3"/>
  <c r="AZ73" i="3"/>
  <c r="AY73" i="3"/>
  <c r="AH73" i="3"/>
  <c r="AG73" i="3"/>
  <c r="AD73" i="3"/>
  <c r="AA73" i="3"/>
  <c r="Y73" i="3"/>
  <c r="V73" i="3"/>
  <c r="T73" i="3"/>
  <c r="F73" i="3"/>
  <c r="E73" i="3"/>
  <c r="D73" i="3"/>
  <c r="C73" i="3"/>
  <c r="B73" i="3"/>
  <c r="A73" i="3"/>
  <c r="AA72" i="3"/>
  <c r="P72" i="3"/>
  <c r="F72" i="3"/>
  <c r="E72" i="3"/>
  <c r="D72" i="3"/>
  <c r="C72" i="3"/>
  <c r="B72" i="3"/>
  <c r="A72" i="3"/>
  <c r="F71" i="3"/>
  <c r="E71" i="3"/>
  <c r="D71" i="3"/>
  <c r="C71" i="3"/>
  <c r="B71" i="3"/>
  <c r="A71" i="3"/>
  <c r="AY70" i="3"/>
  <c r="AX70" i="3"/>
  <c r="AW70" i="3"/>
  <c r="AT70" i="3"/>
  <c r="AR70" i="3"/>
  <c r="AQ70" i="3"/>
  <c r="AC70" i="3"/>
  <c r="AB70" i="3"/>
  <c r="AA70" i="3"/>
  <c r="Z70" i="3"/>
  <c r="Y70" i="3"/>
  <c r="V70" i="3"/>
  <c r="T70" i="3"/>
  <c r="R70" i="3"/>
  <c r="Q70" i="3"/>
  <c r="F70" i="3"/>
  <c r="AS70" i="3" s="1"/>
  <c r="E70" i="3"/>
  <c r="BD70" i="3" s="1"/>
  <c r="D70" i="3"/>
  <c r="C70" i="3"/>
  <c r="B70" i="3"/>
  <c r="A70" i="3"/>
  <c r="BD69" i="3"/>
  <c r="BC69" i="3"/>
  <c r="BB69" i="3"/>
  <c r="AZ69" i="3"/>
  <c r="AW69" i="3"/>
  <c r="AR69" i="3"/>
  <c r="AQ69" i="3"/>
  <c r="AP69" i="3"/>
  <c r="AO69" i="3"/>
  <c r="AN69" i="3"/>
  <c r="AM69" i="3"/>
  <c r="AK69" i="3"/>
  <c r="AJ69" i="3"/>
  <c r="AI69" i="3"/>
  <c r="AG69" i="3"/>
  <c r="AD69" i="3"/>
  <c r="AB69" i="3"/>
  <c r="Y69" i="3"/>
  <c r="W69" i="3"/>
  <c r="V69" i="3"/>
  <c r="U69" i="3"/>
  <c r="T69" i="3"/>
  <c r="R69" i="3"/>
  <c r="Q69" i="3"/>
  <c r="N69" i="3"/>
  <c r="K69" i="3"/>
  <c r="J69" i="3"/>
  <c r="I69" i="3"/>
  <c r="H69" i="3"/>
  <c r="G69" i="3"/>
  <c r="F69" i="3"/>
  <c r="E69" i="3"/>
  <c r="AT69" i="3" s="1"/>
  <c r="D69" i="3"/>
  <c r="C69" i="3"/>
  <c r="B69" i="3"/>
  <c r="A69" i="3"/>
  <c r="AZ68" i="3"/>
  <c r="AY68" i="3"/>
  <c r="AX68" i="3"/>
  <c r="AV68" i="3"/>
  <c r="AU68" i="3"/>
  <c r="AS68" i="3"/>
  <c r="AR68" i="3"/>
  <c r="AP68" i="3"/>
  <c r="AE68" i="3"/>
  <c r="AC68" i="3"/>
  <c r="AB68" i="3"/>
  <c r="AA68" i="3"/>
  <c r="Z68" i="3"/>
  <c r="Y68" i="3"/>
  <c r="V68" i="3"/>
  <c r="T68" i="3"/>
  <c r="S68" i="3"/>
  <c r="R68" i="3"/>
  <c r="I68" i="3"/>
  <c r="F68" i="3"/>
  <c r="AQ68" i="3" s="1"/>
  <c r="E68" i="3"/>
  <c r="BD68" i="3" s="1"/>
  <c r="D68" i="3"/>
  <c r="C68" i="3"/>
  <c r="B68" i="3"/>
  <c r="A68" i="3"/>
  <c r="BD67" i="3"/>
  <c r="BC67" i="3"/>
  <c r="BB67" i="3"/>
  <c r="AP67" i="3"/>
  <c r="AO67" i="3"/>
  <c r="AN67" i="3"/>
  <c r="AM67" i="3"/>
  <c r="AL67" i="3"/>
  <c r="AK67" i="3"/>
  <c r="AJ67" i="3"/>
  <c r="AI67" i="3"/>
  <c r="AH67" i="3"/>
  <c r="AG67" i="3"/>
  <c r="V67" i="3"/>
  <c r="U67" i="3"/>
  <c r="T67" i="3"/>
  <c r="S67" i="3"/>
  <c r="R67" i="3"/>
  <c r="Q67" i="3"/>
  <c r="N67" i="3"/>
  <c r="L67" i="3"/>
  <c r="K67" i="3"/>
  <c r="J67" i="3"/>
  <c r="F67" i="3"/>
  <c r="AX67" i="3" s="1"/>
  <c r="E67" i="3"/>
  <c r="AR67" i="3" s="1"/>
  <c r="D67" i="3"/>
  <c r="C67" i="3"/>
  <c r="B67" i="3"/>
  <c r="A67" i="3"/>
  <c r="AZ66" i="3"/>
  <c r="AW66" i="3"/>
  <c r="AV66" i="3"/>
  <c r="AT66" i="3"/>
  <c r="AJ66" i="3"/>
  <c r="O66" i="3"/>
  <c r="L66" i="3"/>
  <c r="K66" i="3"/>
  <c r="F66" i="3"/>
  <c r="E66" i="3"/>
  <c r="D66" i="3"/>
  <c r="C66" i="3"/>
  <c r="B66" i="3"/>
  <c r="A66" i="3"/>
  <c r="F65" i="3"/>
  <c r="E65" i="3"/>
  <c r="D65" i="3"/>
  <c r="C65" i="3"/>
  <c r="B65" i="3"/>
  <c r="A65" i="3"/>
  <c r="AQ64" i="3"/>
  <c r="AO64" i="3"/>
  <c r="AF64" i="3"/>
  <c r="T64" i="3"/>
  <c r="J64" i="3"/>
  <c r="I64" i="3"/>
  <c r="F64" i="3"/>
  <c r="E64" i="3"/>
  <c r="D64" i="3"/>
  <c r="C64" i="3"/>
  <c r="B64" i="3"/>
  <c r="A64" i="3"/>
  <c r="BC63" i="3"/>
  <c r="BB63" i="3"/>
  <c r="BA63" i="3"/>
  <c r="AZ63" i="3"/>
  <c r="AY63" i="3"/>
  <c r="AW63" i="3"/>
  <c r="AV63" i="3"/>
  <c r="AU63" i="3"/>
  <c r="AT63" i="3"/>
  <c r="AS63" i="3"/>
  <c r="AR63" i="3"/>
  <c r="AQ63" i="3"/>
  <c r="AP63" i="3"/>
  <c r="AO63" i="3"/>
  <c r="AL63" i="3"/>
  <c r="AK63" i="3"/>
  <c r="AJ63" i="3"/>
  <c r="AI63" i="3"/>
  <c r="AG63" i="3"/>
  <c r="AF63" i="3"/>
  <c r="AE63" i="3"/>
  <c r="AD63" i="3"/>
  <c r="AC63" i="3"/>
  <c r="AB63" i="3"/>
  <c r="AA63" i="3"/>
  <c r="Z63" i="3"/>
  <c r="Y63" i="3"/>
  <c r="X63" i="3"/>
  <c r="U63" i="3"/>
  <c r="T63" i="3"/>
  <c r="S63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D63" i="3"/>
  <c r="C63" i="3"/>
  <c r="B63" i="3"/>
  <c r="A63" i="3"/>
  <c r="BB62" i="3"/>
  <c r="AZ62" i="3"/>
  <c r="AY62" i="3"/>
  <c r="AW62" i="3"/>
  <c r="AV62" i="3"/>
  <c r="AR62" i="3"/>
  <c r="AM62" i="3"/>
  <c r="AL62" i="3"/>
  <c r="AG62" i="3"/>
  <c r="AF62" i="3"/>
  <c r="R62" i="3"/>
  <c r="F62" i="3"/>
  <c r="E62" i="3"/>
  <c r="D62" i="3"/>
  <c r="C62" i="3"/>
  <c r="B62" i="3"/>
  <c r="A62" i="3"/>
  <c r="BD61" i="3"/>
  <c r="BC61" i="3"/>
  <c r="AK61" i="3"/>
  <c r="AE61" i="3"/>
  <c r="Y61" i="3"/>
  <c r="X61" i="3"/>
  <c r="W61" i="3"/>
  <c r="H61" i="3"/>
  <c r="F61" i="3"/>
  <c r="BA61" i="3" s="1"/>
  <c r="E61" i="3"/>
  <c r="D61" i="3"/>
  <c r="C61" i="3"/>
  <c r="B61" i="3"/>
  <c r="A61" i="3"/>
  <c r="AU60" i="3"/>
  <c r="AT60" i="3"/>
  <c r="AR60" i="3"/>
  <c r="AQ60" i="3"/>
  <c r="AN60" i="3"/>
  <c r="AK60" i="3"/>
  <c r="AG60" i="3"/>
  <c r="AF60" i="3"/>
  <c r="AE60" i="3"/>
  <c r="AD60" i="3"/>
  <c r="X60" i="3"/>
  <c r="W60" i="3"/>
  <c r="P60" i="3"/>
  <c r="O60" i="3"/>
  <c r="M60" i="3"/>
  <c r="L60" i="3"/>
  <c r="K60" i="3"/>
  <c r="I60" i="3"/>
  <c r="H60" i="3"/>
  <c r="G60" i="3"/>
  <c r="F60" i="3"/>
  <c r="AX60" i="3" s="1"/>
  <c r="E60" i="3"/>
  <c r="D60" i="3"/>
  <c r="C60" i="3"/>
  <c r="B60" i="3"/>
  <c r="A60" i="3"/>
  <c r="BC59" i="3"/>
  <c r="BB59" i="3"/>
  <c r="BA59" i="3"/>
  <c r="AZ59" i="3"/>
  <c r="AY59" i="3"/>
  <c r="AW59" i="3"/>
  <c r="AV59" i="3"/>
  <c r="AU59" i="3"/>
  <c r="AT59" i="3"/>
  <c r="AS59" i="3"/>
  <c r="AP59" i="3"/>
  <c r="AL59" i="3"/>
  <c r="AK59" i="3"/>
  <c r="AJ59" i="3"/>
  <c r="AI59" i="3"/>
  <c r="AG59" i="3"/>
  <c r="AF59" i="3"/>
  <c r="AE59" i="3"/>
  <c r="AD59" i="3"/>
  <c r="AC59" i="3"/>
  <c r="AB59" i="3"/>
  <c r="Y59" i="3"/>
  <c r="U59" i="3"/>
  <c r="T59" i="3"/>
  <c r="S59" i="3"/>
  <c r="Q59" i="3"/>
  <c r="P59" i="3"/>
  <c r="O59" i="3"/>
  <c r="N59" i="3"/>
  <c r="M59" i="3"/>
  <c r="L59" i="3"/>
  <c r="K59" i="3"/>
  <c r="H59" i="3"/>
  <c r="G59" i="3"/>
  <c r="F59" i="3"/>
  <c r="AO59" i="3" s="1"/>
  <c r="E59" i="3"/>
  <c r="D59" i="3"/>
  <c r="C59" i="3"/>
  <c r="B59" i="3"/>
  <c r="A59" i="3"/>
  <c r="BC58" i="3"/>
  <c r="AV58" i="3"/>
  <c r="AR58" i="3"/>
  <c r="AK58" i="3"/>
  <c r="U58" i="3"/>
  <c r="H58" i="3"/>
  <c r="F58" i="3"/>
  <c r="E58" i="3"/>
  <c r="D58" i="3"/>
  <c r="C58" i="3"/>
  <c r="B58" i="3"/>
  <c r="A58" i="3"/>
  <c r="AU57" i="3"/>
  <c r="AT57" i="3"/>
  <c r="AQ57" i="3"/>
  <c r="AP57" i="3"/>
  <c r="AO57" i="3"/>
  <c r="AN57" i="3"/>
  <c r="AM57" i="3"/>
  <c r="AB57" i="3"/>
  <c r="AA57" i="3"/>
  <c r="Y57" i="3"/>
  <c r="X57" i="3"/>
  <c r="V57" i="3"/>
  <c r="L57" i="3"/>
  <c r="K57" i="3"/>
  <c r="F57" i="3"/>
  <c r="E57" i="3"/>
  <c r="D57" i="3"/>
  <c r="C57" i="3"/>
  <c r="B57" i="3"/>
  <c r="A57" i="3"/>
  <c r="BB56" i="3"/>
  <c r="BA56" i="3"/>
  <c r="AZ56" i="3"/>
  <c r="AY56" i="3"/>
  <c r="AX56" i="3"/>
  <c r="AW56" i="3"/>
  <c r="AV56" i="3"/>
  <c r="AU56" i="3"/>
  <c r="AT56" i="3"/>
  <c r="AS56" i="3"/>
  <c r="AO56" i="3"/>
  <c r="AK56" i="3"/>
  <c r="AJ56" i="3"/>
  <c r="AI56" i="3"/>
  <c r="AH56" i="3"/>
  <c r="AG56" i="3"/>
  <c r="AF56" i="3"/>
  <c r="AE56" i="3"/>
  <c r="AD56" i="3"/>
  <c r="AC56" i="3"/>
  <c r="AB56" i="3"/>
  <c r="X56" i="3"/>
  <c r="T56" i="3"/>
  <c r="S56" i="3"/>
  <c r="R56" i="3"/>
  <c r="Q56" i="3"/>
  <c r="P56" i="3"/>
  <c r="O56" i="3"/>
  <c r="N56" i="3"/>
  <c r="M56" i="3"/>
  <c r="L56" i="3"/>
  <c r="K56" i="3"/>
  <c r="G56" i="3"/>
  <c r="F56" i="3"/>
  <c r="AN56" i="3" s="1"/>
  <c r="E56" i="3"/>
  <c r="BC56" i="3" s="1"/>
  <c r="D56" i="3"/>
  <c r="C56" i="3"/>
  <c r="B56" i="3"/>
  <c r="A56" i="3"/>
  <c r="BA55" i="3"/>
  <c r="AZ55" i="3"/>
  <c r="AW55" i="3"/>
  <c r="AT55" i="3"/>
  <c r="AO55" i="3"/>
  <c r="AN55" i="3"/>
  <c r="AM55" i="3"/>
  <c r="AL55" i="3"/>
  <c r="AK55" i="3"/>
  <c r="AJ55" i="3"/>
  <c r="AI55" i="3"/>
  <c r="Y55" i="3"/>
  <c r="X55" i="3"/>
  <c r="V55" i="3"/>
  <c r="U55" i="3"/>
  <c r="S55" i="3"/>
  <c r="Q55" i="3"/>
  <c r="P55" i="3"/>
  <c r="O55" i="3"/>
  <c r="L55" i="3"/>
  <c r="H55" i="3"/>
  <c r="G55" i="3"/>
  <c r="F55" i="3"/>
  <c r="E55" i="3"/>
  <c r="BB55" i="3" s="1"/>
  <c r="D55" i="3"/>
  <c r="C55" i="3"/>
  <c r="B55" i="3"/>
  <c r="A55" i="3"/>
  <c r="AS54" i="3"/>
  <c r="X54" i="3"/>
  <c r="U54" i="3"/>
  <c r="H54" i="3"/>
  <c r="F54" i="3"/>
  <c r="E54" i="3"/>
  <c r="D54" i="3"/>
  <c r="C54" i="3"/>
  <c r="B54" i="3"/>
  <c r="A54" i="3"/>
  <c r="BD53" i="3"/>
  <c r="BA53" i="3"/>
  <c r="AS53" i="3"/>
  <c r="AJ53" i="3"/>
  <c r="AF53" i="3"/>
  <c r="AE53" i="3"/>
  <c r="AD53" i="3"/>
  <c r="AC53" i="3"/>
  <c r="AA53" i="3"/>
  <c r="W53" i="3"/>
  <c r="V53" i="3"/>
  <c r="Q53" i="3"/>
  <c r="P53" i="3"/>
  <c r="O53" i="3"/>
  <c r="F53" i="3"/>
  <c r="AI53" i="3" s="1"/>
  <c r="E53" i="3"/>
  <c r="AU53" i="3" s="1"/>
  <c r="D53" i="3"/>
  <c r="C53" i="3"/>
  <c r="B53" i="3"/>
  <c r="A53" i="3"/>
  <c r="BC52" i="3"/>
  <c r="AZ52" i="3"/>
  <c r="AS52" i="3"/>
  <c r="AM52" i="3"/>
  <c r="AK52" i="3"/>
  <c r="AF52" i="3"/>
  <c r="X52" i="3"/>
  <c r="W52" i="3"/>
  <c r="T52" i="3"/>
  <c r="P52" i="3"/>
  <c r="K52" i="3"/>
  <c r="G52" i="3"/>
  <c r="F52" i="3"/>
  <c r="E52" i="3"/>
  <c r="BA52" i="3" s="1"/>
  <c r="D52" i="3"/>
  <c r="C52" i="3"/>
  <c r="B52" i="3"/>
  <c r="A52" i="3"/>
  <c r="AS51" i="3"/>
  <c r="AR51" i="3"/>
  <c r="AP51" i="3"/>
  <c r="AN51" i="3"/>
  <c r="AM51" i="3"/>
  <c r="AK51" i="3"/>
  <c r="AG51" i="3"/>
  <c r="AE51" i="3"/>
  <c r="V51" i="3"/>
  <c r="P51" i="3"/>
  <c r="I51" i="3"/>
  <c r="F51" i="3"/>
  <c r="E51" i="3"/>
  <c r="D51" i="3"/>
  <c r="C51" i="3"/>
  <c r="B51" i="3"/>
  <c r="A51" i="3"/>
  <c r="BD50" i="3"/>
  <c r="BC50" i="3"/>
  <c r="AZ50" i="3"/>
  <c r="AX50" i="3"/>
  <c r="AV50" i="3"/>
  <c r="AU50" i="3"/>
  <c r="AS50" i="3"/>
  <c r="AR50" i="3"/>
  <c r="AO50" i="3"/>
  <c r="AN50" i="3"/>
  <c r="AM50" i="3"/>
  <c r="AK50" i="3"/>
  <c r="AI50" i="3"/>
  <c r="AH50" i="3"/>
  <c r="AG50" i="3"/>
  <c r="AE50" i="3"/>
  <c r="AB50" i="3"/>
  <c r="X50" i="3"/>
  <c r="W50" i="3"/>
  <c r="U50" i="3"/>
  <c r="T50" i="3"/>
  <c r="S50" i="3"/>
  <c r="R50" i="3"/>
  <c r="Q50" i="3"/>
  <c r="P50" i="3"/>
  <c r="O50" i="3"/>
  <c r="L50" i="3"/>
  <c r="H50" i="3"/>
  <c r="G50" i="3"/>
  <c r="F50" i="3"/>
  <c r="E50" i="3"/>
  <c r="D50" i="3"/>
  <c r="C50" i="3"/>
  <c r="B50" i="3"/>
  <c r="A50" i="3"/>
  <c r="BD49" i="3"/>
  <c r="BC49" i="3"/>
  <c r="BB49" i="3"/>
  <c r="BA49" i="3"/>
  <c r="AZ49" i="3"/>
  <c r="AV49" i="3"/>
  <c r="AP49" i="3"/>
  <c r="AO49" i="3"/>
  <c r="AN49" i="3"/>
  <c r="AL49" i="3"/>
  <c r="AK49" i="3"/>
  <c r="AG49" i="3"/>
  <c r="AF49" i="3"/>
  <c r="AE49" i="3"/>
  <c r="AB49" i="3"/>
  <c r="Z49" i="3"/>
  <c r="Y49" i="3"/>
  <c r="W49" i="3"/>
  <c r="T49" i="3"/>
  <c r="Q49" i="3"/>
  <c r="P49" i="3"/>
  <c r="M49" i="3"/>
  <c r="L49" i="3"/>
  <c r="K49" i="3"/>
  <c r="I49" i="3"/>
  <c r="G49" i="3"/>
  <c r="F49" i="3"/>
  <c r="E49" i="3"/>
  <c r="D49" i="3"/>
  <c r="C49" i="3"/>
  <c r="B49" i="3"/>
  <c r="A49" i="3"/>
  <c r="BC48" i="3"/>
  <c r="BA48" i="3"/>
  <c r="AZ48" i="3"/>
  <c r="AO48" i="3"/>
  <c r="X48" i="3"/>
  <c r="F48" i="3"/>
  <c r="E48" i="3"/>
  <c r="D48" i="3"/>
  <c r="C48" i="3"/>
  <c r="B48" i="3"/>
  <c r="A48" i="3"/>
  <c r="BD47" i="3"/>
  <c r="BB47" i="3"/>
  <c r="BA47" i="3"/>
  <c r="AW47" i="3"/>
  <c r="AV47" i="3"/>
  <c r="AS47" i="3"/>
  <c r="AM47" i="3"/>
  <c r="AL47" i="3"/>
  <c r="AG47" i="3"/>
  <c r="AF47" i="3"/>
  <c r="AE47" i="3"/>
  <c r="AB47" i="3"/>
  <c r="Z47" i="3"/>
  <c r="W47" i="3"/>
  <c r="U47" i="3"/>
  <c r="T47" i="3"/>
  <c r="M47" i="3"/>
  <c r="K47" i="3"/>
  <c r="I47" i="3"/>
  <c r="G47" i="3"/>
  <c r="F47" i="3"/>
  <c r="E47" i="3"/>
  <c r="AZ47" i="3" s="1"/>
  <c r="D47" i="3"/>
  <c r="C47" i="3"/>
  <c r="B47" i="3"/>
  <c r="A47" i="3"/>
  <c r="BD46" i="3"/>
  <c r="BC46" i="3"/>
  <c r="AW46" i="3"/>
  <c r="AV46" i="3"/>
  <c r="AR46" i="3"/>
  <c r="AP46" i="3"/>
  <c r="AN46" i="3"/>
  <c r="AM46" i="3"/>
  <c r="AL46" i="3"/>
  <c r="AK46" i="3"/>
  <c r="AJ46" i="3"/>
  <c r="AI46" i="3"/>
  <c r="AH46" i="3"/>
  <c r="AG46" i="3"/>
  <c r="Y46" i="3"/>
  <c r="W46" i="3"/>
  <c r="U46" i="3"/>
  <c r="T46" i="3"/>
  <c r="S46" i="3"/>
  <c r="R46" i="3"/>
  <c r="Q46" i="3"/>
  <c r="P46" i="3"/>
  <c r="O46" i="3"/>
  <c r="N46" i="3"/>
  <c r="L46" i="3"/>
  <c r="I46" i="3"/>
  <c r="F46" i="3"/>
  <c r="E46" i="3"/>
  <c r="AT46" i="3" s="1"/>
  <c r="D46" i="3"/>
  <c r="C46" i="3"/>
  <c r="B46" i="3"/>
  <c r="A46" i="3"/>
  <c r="BD45" i="3"/>
  <c r="BC45" i="3"/>
  <c r="AU45" i="3"/>
  <c r="AM45" i="3"/>
  <c r="AJ45" i="3"/>
  <c r="AG45" i="3"/>
  <c r="AE45" i="3"/>
  <c r="AB45" i="3"/>
  <c r="AA45" i="3"/>
  <c r="Y45" i="3"/>
  <c r="X45" i="3"/>
  <c r="W45" i="3"/>
  <c r="P45" i="3"/>
  <c r="K45" i="3"/>
  <c r="G45" i="3"/>
  <c r="F45" i="3"/>
  <c r="AR45" i="3" s="1"/>
  <c r="E45" i="3"/>
  <c r="D45" i="3"/>
  <c r="C45" i="3"/>
  <c r="B45" i="3"/>
  <c r="A45" i="3"/>
  <c r="AW44" i="3"/>
  <c r="AV44" i="3"/>
  <c r="AU44" i="3"/>
  <c r="AS44" i="3"/>
  <c r="AR44" i="3"/>
  <c r="AO44" i="3"/>
  <c r="F44" i="3"/>
  <c r="E44" i="3"/>
  <c r="D44" i="3"/>
  <c r="C44" i="3"/>
  <c r="B44" i="3"/>
  <c r="A44" i="3"/>
  <c r="BB43" i="3"/>
  <c r="AP43" i="3"/>
  <c r="AO43" i="3"/>
  <c r="AM43" i="3"/>
  <c r="P43" i="3"/>
  <c r="J43" i="3"/>
  <c r="F43" i="3"/>
  <c r="E43" i="3"/>
  <c r="D43" i="3"/>
  <c r="C43" i="3"/>
  <c r="B43" i="3"/>
  <c r="A43" i="3"/>
  <c r="BD42" i="3"/>
  <c r="BC42" i="3"/>
  <c r="BA42" i="3"/>
  <c r="AZ42" i="3"/>
  <c r="AY42" i="3"/>
  <c r="AX42" i="3"/>
  <c r="AV42" i="3"/>
  <c r="AU42" i="3"/>
  <c r="AP42" i="3"/>
  <c r="AO42" i="3"/>
  <c r="AM42" i="3"/>
  <c r="AL42" i="3"/>
  <c r="AK42" i="3"/>
  <c r="AI42" i="3"/>
  <c r="AH42" i="3"/>
  <c r="AF42" i="3"/>
  <c r="AE42" i="3"/>
  <c r="AC42" i="3"/>
  <c r="AB42" i="3"/>
  <c r="AA42" i="3"/>
  <c r="W42" i="3"/>
  <c r="V42" i="3"/>
  <c r="T42" i="3"/>
  <c r="S42" i="3"/>
  <c r="P42" i="3"/>
  <c r="O42" i="3"/>
  <c r="M42" i="3"/>
  <c r="L42" i="3"/>
  <c r="K42" i="3"/>
  <c r="J42" i="3"/>
  <c r="I42" i="3"/>
  <c r="H42" i="3"/>
  <c r="F42" i="3"/>
  <c r="E42" i="3"/>
  <c r="AN42" i="3" s="1"/>
  <c r="D42" i="3"/>
  <c r="C42" i="3"/>
  <c r="B42" i="3"/>
  <c r="A42" i="3"/>
  <c r="BC41" i="3"/>
  <c r="BA41" i="3"/>
  <c r="AZ41" i="3"/>
  <c r="AY41" i="3"/>
  <c r="AX41" i="3"/>
  <c r="AW41" i="3"/>
  <c r="AV41" i="3"/>
  <c r="AU41" i="3"/>
  <c r="AT41" i="3"/>
  <c r="AQ41" i="3"/>
  <c r="AP41" i="3"/>
  <c r="AN41" i="3"/>
  <c r="AJ41" i="3"/>
  <c r="AI41" i="3"/>
  <c r="AH41" i="3"/>
  <c r="AG41" i="3"/>
  <c r="AF41" i="3"/>
  <c r="AE41" i="3"/>
  <c r="AD41" i="3"/>
  <c r="AC41" i="3"/>
  <c r="AB41" i="3"/>
  <c r="AA41" i="3"/>
  <c r="W41" i="3"/>
  <c r="U41" i="3"/>
  <c r="T41" i="3"/>
  <c r="Q41" i="3"/>
  <c r="P41" i="3"/>
  <c r="O41" i="3"/>
  <c r="N41" i="3"/>
  <c r="M41" i="3"/>
  <c r="L41" i="3"/>
  <c r="K41" i="3"/>
  <c r="J41" i="3"/>
  <c r="H41" i="3"/>
  <c r="G41" i="3"/>
  <c r="F41" i="3"/>
  <c r="E41" i="3"/>
  <c r="AM41" i="3" s="1"/>
  <c r="D41" i="3"/>
  <c r="C41" i="3"/>
  <c r="B41" i="3"/>
  <c r="A41" i="3"/>
  <c r="BD40" i="3"/>
  <c r="BC40" i="3"/>
  <c r="BB40" i="3"/>
  <c r="BA40" i="3"/>
  <c r="AZ40" i="3"/>
  <c r="AY40" i="3"/>
  <c r="AX40" i="3"/>
  <c r="AV40" i="3"/>
  <c r="AU40" i="3"/>
  <c r="AS40" i="3"/>
  <c r="AP40" i="3"/>
  <c r="AO40" i="3"/>
  <c r="AM40" i="3"/>
  <c r="AK40" i="3"/>
  <c r="AJ40" i="3"/>
  <c r="AI40" i="3"/>
  <c r="AH40" i="3"/>
  <c r="AF40" i="3"/>
  <c r="AE40" i="3"/>
  <c r="AC40" i="3"/>
  <c r="AB40" i="3"/>
  <c r="AA40" i="3"/>
  <c r="Z40" i="3"/>
  <c r="W40" i="3"/>
  <c r="U40" i="3"/>
  <c r="T40" i="3"/>
  <c r="R40" i="3"/>
  <c r="P40" i="3"/>
  <c r="O40" i="3"/>
  <c r="M40" i="3"/>
  <c r="L40" i="3"/>
  <c r="K40" i="3"/>
  <c r="J40" i="3"/>
  <c r="I40" i="3"/>
  <c r="H40" i="3"/>
  <c r="G40" i="3"/>
  <c r="F40" i="3"/>
  <c r="E40" i="3"/>
  <c r="AL40" i="3" s="1"/>
  <c r="D40" i="3"/>
  <c r="C40" i="3"/>
  <c r="B40" i="3"/>
  <c r="A40" i="3"/>
  <c r="BD39" i="3"/>
  <c r="BC39" i="3"/>
  <c r="BA39" i="3"/>
  <c r="AZ39" i="3"/>
  <c r="AY39" i="3"/>
  <c r="AX39" i="3"/>
  <c r="AW39" i="3"/>
  <c r="AV39" i="3"/>
  <c r="AU39" i="3"/>
  <c r="AT39" i="3"/>
  <c r="AP39" i="3"/>
  <c r="AN39" i="3"/>
  <c r="AM39" i="3"/>
  <c r="AJ39" i="3"/>
  <c r="AI39" i="3"/>
  <c r="AH39" i="3"/>
  <c r="AG39" i="3"/>
  <c r="AF39" i="3"/>
  <c r="AE39" i="3"/>
  <c r="AD39" i="3"/>
  <c r="AC39" i="3"/>
  <c r="AB39" i="3"/>
  <c r="AA39" i="3"/>
  <c r="U39" i="3"/>
  <c r="T39" i="3"/>
  <c r="S39" i="3"/>
  <c r="Q39" i="3"/>
  <c r="P39" i="3"/>
  <c r="O39" i="3"/>
  <c r="N39" i="3"/>
  <c r="M39" i="3"/>
  <c r="L39" i="3"/>
  <c r="K39" i="3"/>
  <c r="J39" i="3"/>
  <c r="H39" i="3"/>
  <c r="G39" i="3"/>
  <c r="F39" i="3"/>
  <c r="E39" i="3"/>
  <c r="AK39" i="3" s="1"/>
  <c r="D39" i="3"/>
  <c r="C39" i="3"/>
  <c r="B39" i="3"/>
  <c r="A39" i="3"/>
  <c r="AK38" i="3"/>
  <c r="AJ38" i="3"/>
  <c r="AI38" i="3"/>
  <c r="AF38" i="3"/>
  <c r="AE38" i="3"/>
  <c r="AB38" i="3"/>
  <c r="U38" i="3"/>
  <c r="O38" i="3"/>
  <c r="L38" i="3"/>
  <c r="K38" i="3"/>
  <c r="F38" i="3"/>
  <c r="AS38" i="3" s="1"/>
  <c r="E38" i="3"/>
  <c r="D38" i="3"/>
  <c r="C38" i="3"/>
  <c r="B38" i="3"/>
  <c r="A38" i="3"/>
  <c r="AR37" i="3"/>
  <c r="AM37" i="3"/>
  <c r="AK37" i="3"/>
  <c r="AI37" i="3"/>
  <c r="AH37" i="3"/>
  <c r="F37" i="3"/>
  <c r="E37" i="3"/>
  <c r="D37" i="3"/>
  <c r="C37" i="3"/>
  <c r="B37" i="3"/>
  <c r="A37" i="3"/>
  <c r="BB36" i="3"/>
  <c r="AQ36" i="3"/>
  <c r="AL36" i="3"/>
  <c r="AK36" i="3"/>
  <c r="AI36" i="3"/>
  <c r="AH36" i="3"/>
  <c r="AF36" i="3"/>
  <c r="AB36" i="3"/>
  <c r="X36" i="3"/>
  <c r="O36" i="3"/>
  <c r="M36" i="3"/>
  <c r="K36" i="3"/>
  <c r="I36" i="3"/>
  <c r="H36" i="3"/>
  <c r="F36" i="3"/>
  <c r="E36" i="3"/>
  <c r="AP36" i="3" s="1"/>
  <c r="D36" i="3"/>
  <c r="C36" i="3"/>
  <c r="B36" i="3"/>
  <c r="A36" i="3"/>
  <c r="AU35" i="3"/>
  <c r="AT35" i="3"/>
  <c r="AQ35" i="3"/>
  <c r="AP35" i="3"/>
  <c r="AJ35" i="3"/>
  <c r="AI35" i="3"/>
  <c r="AF35" i="3"/>
  <c r="AE35" i="3"/>
  <c r="G35" i="3"/>
  <c r="F35" i="3"/>
  <c r="E35" i="3"/>
  <c r="D35" i="3"/>
  <c r="C35" i="3"/>
  <c r="B35" i="3"/>
  <c r="A35" i="3"/>
  <c r="BC34" i="3"/>
  <c r="AV34" i="3"/>
  <c r="AH34" i="3"/>
  <c r="AF34" i="3"/>
  <c r="AE34" i="3"/>
  <c r="Z34" i="3"/>
  <c r="Q34" i="3"/>
  <c r="P34" i="3"/>
  <c r="M34" i="3"/>
  <c r="L34" i="3"/>
  <c r="K34" i="3"/>
  <c r="I34" i="3"/>
  <c r="F34" i="3"/>
  <c r="E34" i="3"/>
  <c r="AO34" i="3" s="1"/>
  <c r="D34" i="3"/>
  <c r="C34" i="3"/>
  <c r="B34" i="3"/>
  <c r="A34" i="3"/>
  <c r="BD33" i="3"/>
  <c r="BC33" i="3"/>
  <c r="BA33" i="3"/>
  <c r="AZ33" i="3"/>
  <c r="AY33" i="3"/>
  <c r="AX33" i="3"/>
  <c r="AW33" i="3"/>
  <c r="AV33" i="3"/>
  <c r="AU33" i="3"/>
  <c r="AT33" i="3"/>
  <c r="AS33" i="3"/>
  <c r="AR33" i="3"/>
  <c r="AQ33" i="3"/>
  <c r="AN33" i="3"/>
  <c r="AM33" i="3"/>
  <c r="AK33" i="3"/>
  <c r="AJ33" i="3"/>
  <c r="AI33" i="3"/>
  <c r="AH33" i="3"/>
  <c r="AG33" i="3"/>
  <c r="AF33" i="3"/>
  <c r="AE33" i="3"/>
  <c r="AD33" i="3"/>
  <c r="AC33" i="3"/>
  <c r="AB33" i="3"/>
  <c r="AA33" i="3"/>
  <c r="Z33" i="3"/>
  <c r="Y33" i="3"/>
  <c r="U33" i="3"/>
  <c r="T33" i="3"/>
  <c r="S33" i="3"/>
  <c r="R33" i="3"/>
  <c r="Q33" i="3"/>
  <c r="P33" i="3"/>
  <c r="O33" i="3"/>
  <c r="N33" i="3"/>
  <c r="M33" i="3"/>
  <c r="L33" i="3"/>
  <c r="K33" i="3"/>
  <c r="J33" i="3"/>
  <c r="I33" i="3"/>
  <c r="H33" i="3"/>
  <c r="F33" i="3"/>
  <c r="E33" i="3"/>
  <c r="D33" i="3"/>
  <c r="C33" i="3"/>
  <c r="B33" i="3"/>
  <c r="A33" i="3"/>
  <c r="BC32" i="3"/>
  <c r="BB32" i="3"/>
  <c r="BA32" i="3"/>
  <c r="AZ32" i="3"/>
  <c r="AY32" i="3"/>
  <c r="AX32" i="3"/>
  <c r="AV32" i="3"/>
  <c r="AS32" i="3"/>
  <c r="AR32" i="3"/>
  <c r="AN32" i="3"/>
  <c r="AM32" i="3"/>
  <c r="AK32" i="3"/>
  <c r="AJ32" i="3"/>
  <c r="AI32" i="3"/>
  <c r="AH32" i="3"/>
  <c r="AG32" i="3"/>
  <c r="AF32" i="3"/>
  <c r="AB32" i="3"/>
  <c r="AA32" i="3"/>
  <c r="Z32" i="3"/>
  <c r="V32" i="3"/>
  <c r="U32" i="3"/>
  <c r="S32" i="3"/>
  <c r="R32" i="3"/>
  <c r="Q32" i="3"/>
  <c r="P32" i="3"/>
  <c r="O32" i="3"/>
  <c r="M32" i="3"/>
  <c r="J32" i="3"/>
  <c r="I32" i="3"/>
  <c r="H32" i="3"/>
  <c r="F32" i="3"/>
  <c r="E32" i="3"/>
  <c r="BD32" i="3" s="1"/>
  <c r="D32" i="3"/>
  <c r="C32" i="3"/>
  <c r="B32" i="3"/>
  <c r="A32" i="3"/>
  <c r="BD31" i="3"/>
  <c r="BC31" i="3"/>
  <c r="AZ31" i="3"/>
  <c r="AX31" i="3"/>
  <c r="AV31" i="3"/>
  <c r="AU31" i="3"/>
  <c r="AT31" i="3"/>
  <c r="AP31" i="3"/>
  <c r="AM31" i="3"/>
  <c r="AK31" i="3"/>
  <c r="AJ31" i="3"/>
  <c r="AF31" i="3"/>
  <c r="AD31" i="3"/>
  <c r="AC31" i="3"/>
  <c r="AB31" i="3"/>
  <c r="X31" i="3"/>
  <c r="W31" i="3"/>
  <c r="T31" i="3"/>
  <c r="S31" i="3"/>
  <c r="R31" i="3"/>
  <c r="O31" i="3"/>
  <c r="N31" i="3"/>
  <c r="K31" i="3"/>
  <c r="J31" i="3"/>
  <c r="F31" i="3"/>
  <c r="E31" i="3"/>
  <c r="D31" i="3"/>
  <c r="C31" i="3"/>
  <c r="B31" i="3"/>
  <c r="A31" i="3"/>
  <c r="BC30" i="3"/>
  <c r="BB30" i="3"/>
  <c r="AZ30" i="3"/>
  <c r="AY30" i="3"/>
  <c r="AX30" i="3"/>
  <c r="AS30" i="3"/>
  <c r="AR30" i="3"/>
  <c r="AM30" i="3"/>
  <c r="AG30" i="3"/>
  <c r="AF30" i="3"/>
  <c r="AA30" i="3"/>
  <c r="Z30" i="3"/>
  <c r="X30" i="3"/>
  <c r="V30" i="3"/>
  <c r="U30" i="3"/>
  <c r="S30" i="3"/>
  <c r="R30" i="3"/>
  <c r="P30" i="3"/>
  <c r="I30" i="3"/>
  <c r="H30" i="3"/>
  <c r="F30" i="3"/>
  <c r="E30" i="3"/>
  <c r="D30" i="3"/>
  <c r="C30" i="3"/>
  <c r="B30" i="3"/>
  <c r="A30" i="3"/>
  <c r="BC29" i="3"/>
  <c r="BA29" i="3"/>
  <c r="AZ29" i="3"/>
  <c r="AV29" i="3"/>
  <c r="AU29" i="3"/>
  <c r="AR29" i="3"/>
  <c r="AQ29" i="3"/>
  <c r="AP29" i="3"/>
  <c r="AN29" i="3"/>
  <c r="AM29" i="3"/>
  <c r="AJ29" i="3"/>
  <c r="AI29" i="3"/>
  <c r="AH29" i="3"/>
  <c r="AD29" i="3"/>
  <c r="AC29" i="3"/>
  <c r="Z29" i="3"/>
  <c r="Y29" i="3"/>
  <c r="X29" i="3"/>
  <c r="U29" i="3"/>
  <c r="T29" i="3"/>
  <c r="R29" i="3"/>
  <c r="Q29" i="3"/>
  <c r="P29" i="3"/>
  <c r="L29" i="3"/>
  <c r="J29" i="3"/>
  <c r="H29" i="3"/>
  <c r="G29" i="3"/>
  <c r="F29" i="3"/>
  <c r="E29" i="3"/>
  <c r="BD29" i="3" s="1"/>
  <c r="D29" i="3"/>
  <c r="C29" i="3"/>
  <c r="B29" i="3"/>
  <c r="A29" i="3"/>
  <c r="AW28" i="3"/>
  <c r="AP28" i="3"/>
  <c r="AK28" i="3"/>
  <c r="AF28" i="3"/>
  <c r="AE28" i="3"/>
  <c r="AB28" i="3"/>
  <c r="AA28" i="3"/>
  <c r="F28" i="3"/>
  <c r="E28" i="3"/>
  <c r="AU28" i="3" s="1"/>
  <c r="D28" i="3"/>
  <c r="C28" i="3"/>
  <c r="B28" i="3"/>
  <c r="A28" i="3"/>
  <c r="BC27" i="3"/>
  <c r="BA27" i="3"/>
  <c r="AZ27" i="3"/>
  <c r="AY27" i="3"/>
  <c r="AX27" i="3"/>
  <c r="AW27" i="3"/>
  <c r="AV27" i="3"/>
  <c r="AU27" i="3"/>
  <c r="AT27" i="3"/>
  <c r="AS27" i="3"/>
  <c r="AR27" i="3"/>
  <c r="AQ27" i="3"/>
  <c r="AP27" i="3"/>
  <c r="AO27" i="3"/>
  <c r="AN27" i="3"/>
  <c r="AK27" i="3"/>
  <c r="AJ27" i="3"/>
  <c r="AI27" i="3"/>
  <c r="AH27" i="3"/>
  <c r="AG27" i="3"/>
  <c r="AF27" i="3"/>
  <c r="AE27" i="3"/>
  <c r="AD27" i="3"/>
  <c r="AC27" i="3"/>
  <c r="AB27" i="3"/>
  <c r="AA27" i="3"/>
  <c r="Z27" i="3"/>
  <c r="Y27" i="3"/>
  <c r="X27" i="3"/>
  <c r="W27" i="3"/>
  <c r="T27" i="3"/>
  <c r="S27" i="3"/>
  <c r="R27" i="3"/>
  <c r="Q27" i="3"/>
  <c r="P27" i="3"/>
  <c r="O27" i="3"/>
  <c r="N27" i="3"/>
  <c r="M27" i="3"/>
  <c r="L27" i="3"/>
  <c r="K27" i="3"/>
  <c r="J27" i="3"/>
  <c r="I27" i="3"/>
  <c r="H27" i="3"/>
  <c r="G27" i="3"/>
  <c r="F27" i="3"/>
  <c r="E27" i="3"/>
  <c r="D27" i="3"/>
  <c r="C27" i="3"/>
  <c r="B27" i="3"/>
  <c r="A27" i="3"/>
  <c r="BC26" i="3"/>
  <c r="BB26" i="3"/>
  <c r="AO26" i="3"/>
  <c r="AJ26" i="3"/>
  <c r="AH26" i="3"/>
  <c r="AG26" i="3"/>
  <c r="AF26" i="3"/>
  <c r="AC26" i="3"/>
  <c r="AB26" i="3"/>
  <c r="Y26" i="3"/>
  <c r="S26" i="3"/>
  <c r="M26" i="3"/>
  <c r="K26" i="3"/>
  <c r="I26" i="3"/>
  <c r="G26" i="3"/>
  <c r="F26" i="3"/>
  <c r="E26" i="3"/>
  <c r="AK26" i="3" s="1"/>
  <c r="D26" i="3"/>
  <c r="C26" i="3"/>
  <c r="B26" i="3"/>
  <c r="A26" i="3"/>
  <c r="AM25" i="3"/>
  <c r="AJ25" i="3"/>
  <c r="AI25" i="3"/>
  <c r="AH25" i="3"/>
  <c r="AF25" i="3"/>
  <c r="F25" i="3"/>
  <c r="E25" i="3"/>
  <c r="D25" i="3"/>
  <c r="C25" i="3"/>
  <c r="B25" i="3"/>
  <c r="A25" i="3"/>
  <c r="BC24" i="3"/>
  <c r="AZ24" i="3"/>
  <c r="AY24" i="3"/>
  <c r="AX24" i="3"/>
  <c r="AS24" i="3"/>
  <c r="AR24" i="3"/>
  <c r="AP24" i="3"/>
  <c r="AO24" i="3"/>
  <c r="AN24" i="3"/>
  <c r="AL24" i="3"/>
  <c r="AK24" i="3"/>
  <c r="AI24" i="3"/>
  <c r="AG24" i="3"/>
  <c r="AB24" i="3"/>
  <c r="AA24" i="3"/>
  <c r="X24" i="3"/>
  <c r="W24" i="3"/>
  <c r="U24" i="3"/>
  <c r="T24" i="3"/>
  <c r="R24" i="3"/>
  <c r="Q24" i="3"/>
  <c r="P24" i="3"/>
  <c r="K24" i="3"/>
  <c r="J24" i="3"/>
  <c r="H24" i="3"/>
  <c r="G24" i="3"/>
  <c r="F24" i="3"/>
  <c r="AH24" i="3" s="1"/>
  <c r="E24" i="3"/>
  <c r="BA24" i="3" s="1"/>
  <c r="D24" i="3"/>
  <c r="C24" i="3"/>
  <c r="B24" i="3"/>
  <c r="A24" i="3"/>
  <c r="BD23" i="3"/>
  <c r="BC23" i="3"/>
  <c r="AX23" i="3"/>
  <c r="AW23" i="3"/>
  <c r="AU23" i="3"/>
  <c r="AT23" i="3"/>
  <c r="AS23" i="3"/>
  <c r="AQ23" i="3"/>
  <c r="AP23" i="3"/>
  <c r="AN23" i="3"/>
  <c r="AM23" i="3"/>
  <c r="AK23" i="3"/>
  <c r="AG23" i="3"/>
  <c r="AF23" i="3"/>
  <c r="AC23" i="3"/>
  <c r="AB23" i="3"/>
  <c r="Z23" i="3"/>
  <c r="Y23" i="3"/>
  <c r="W23" i="3"/>
  <c r="U23" i="3"/>
  <c r="T23" i="3"/>
  <c r="P23" i="3"/>
  <c r="O23" i="3"/>
  <c r="M23" i="3"/>
  <c r="L23" i="3"/>
  <c r="K23" i="3"/>
  <c r="I23" i="3"/>
  <c r="H23" i="3"/>
  <c r="F23" i="3"/>
  <c r="E23" i="3"/>
  <c r="D23" i="3"/>
  <c r="C23" i="3"/>
  <c r="B23" i="3"/>
  <c r="A23" i="3"/>
  <c r="AI22" i="3"/>
  <c r="AH22" i="3"/>
  <c r="AF22" i="3"/>
  <c r="AE22" i="3"/>
  <c r="AB22" i="3"/>
  <c r="AA22" i="3"/>
  <c r="F22" i="3"/>
  <c r="E22" i="3"/>
  <c r="AY22" i="3" s="1"/>
  <c r="D22" i="3"/>
  <c r="C22" i="3"/>
  <c r="B22" i="3"/>
  <c r="A22" i="3"/>
  <c r="BD21" i="3"/>
  <c r="BA21" i="3"/>
  <c r="AZ21" i="3"/>
  <c r="AN21" i="3"/>
  <c r="AI21" i="3"/>
  <c r="AG21" i="3"/>
  <c r="AF21" i="3"/>
  <c r="AE21" i="3"/>
  <c r="AA21" i="3"/>
  <c r="Z21" i="3"/>
  <c r="X21" i="3"/>
  <c r="U21" i="3"/>
  <c r="S21" i="3"/>
  <c r="R21" i="3"/>
  <c r="N21" i="3"/>
  <c r="G21" i="3"/>
  <c r="F21" i="3"/>
  <c r="E21" i="3"/>
  <c r="D21" i="3"/>
  <c r="C21" i="3"/>
  <c r="B21" i="3"/>
  <c r="A21" i="3"/>
  <c r="BC20" i="3"/>
  <c r="BB20" i="3"/>
  <c r="AX20" i="3"/>
  <c r="AS20" i="3"/>
  <c r="AR20" i="3"/>
  <c r="AP20" i="3"/>
  <c r="AO20" i="3"/>
  <c r="AA20" i="3"/>
  <c r="Y20" i="3"/>
  <c r="X20" i="3"/>
  <c r="T20" i="3"/>
  <c r="P20" i="3"/>
  <c r="O20" i="3"/>
  <c r="L20" i="3"/>
  <c r="K20" i="3"/>
  <c r="J20" i="3"/>
  <c r="H20" i="3"/>
  <c r="F20" i="3"/>
  <c r="E20" i="3"/>
  <c r="AG20" i="3" s="1"/>
  <c r="D20" i="3"/>
  <c r="C20" i="3"/>
  <c r="B20" i="3"/>
  <c r="A20" i="3"/>
  <c r="BC19" i="3"/>
  <c r="BA19" i="3"/>
  <c r="AY19" i="3"/>
  <c r="AX19" i="3"/>
  <c r="AW19" i="3"/>
  <c r="AU19" i="3"/>
  <c r="AT19" i="3"/>
  <c r="AR19" i="3"/>
  <c r="AQ19" i="3"/>
  <c r="AP19" i="3"/>
  <c r="AK19" i="3"/>
  <c r="AJ19" i="3"/>
  <c r="AH19" i="3"/>
  <c r="AG19" i="3"/>
  <c r="AF19" i="3"/>
  <c r="AD19" i="3"/>
  <c r="AC19" i="3"/>
  <c r="AA19" i="3"/>
  <c r="Z19" i="3"/>
  <c r="Y19" i="3"/>
  <c r="T19" i="3"/>
  <c r="S19" i="3"/>
  <c r="Q19" i="3"/>
  <c r="P19" i="3"/>
  <c r="O19" i="3"/>
  <c r="N19" i="3"/>
  <c r="M19" i="3"/>
  <c r="L19" i="3"/>
  <c r="J19" i="3"/>
  <c r="I19" i="3"/>
  <c r="H19" i="3"/>
  <c r="F19" i="3"/>
  <c r="E19" i="3"/>
  <c r="AZ19" i="3" s="1"/>
  <c r="D19" i="3"/>
  <c r="C19" i="3"/>
  <c r="B19" i="3"/>
  <c r="A19" i="3"/>
  <c r="BD18" i="3"/>
  <c r="BC18" i="3"/>
  <c r="BB18" i="3"/>
  <c r="BA18" i="3"/>
  <c r="AI18" i="3"/>
  <c r="AF18" i="3"/>
  <c r="AE18" i="3"/>
  <c r="Z18" i="3"/>
  <c r="Y18" i="3"/>
  <c r="W18" i="3"/>
  <c r="V18" i="3"/>
  <c r="F18" i="3"/>
  <c r="E18" i="3"/>
  <c r="AG18" i="3" s="1"/>
  <c r="D18" i="3"/>
  <c r="C18" i="3"/>
  <c r="B18" i="3"/>
  <c r="A18" i="3"/>
  <c r="BC17" i="3"/>
  <c r="BA17" i="3"/>
  <c r="AZ17" i="3"/>
  <c r="AW17" i="3"/>
  <c r="AV17" i="3"/>
  <c r="AU17" i="3"/>
  <c r="AS17" i="3"/>
  <c r="AR17" i="3"/>
  <c r="AQ17" i="3"/>
  <c r="AP17" i="3"/>
  <c r="AO17" i="3"/>
  <c r="AN17" i="3"/>
  <c r="AK17" i="3"/>
  <c r="AJ17" i="3"/>
  <c r="AI17" i="3"/>
  <c r="AF17" i="3"/>
  <c r="AE17" i="3"/>
  <c r="AD17" i="3"/>
  <c r="AB17" i="3"/>
  <c r="AA17" i="3"/>
  <c r="Z17" i="3"/>
  <c r="Y17" i="3"/>
  <c r="X17" i="3"/>
  <c r="W17" i="3"/>
  <c r="T17" i="3"/>
  <c r="S17" i="3"/>
  <c r="R17" i="3"/>
  <c r="O17" i="3"/>
  <c r="N17" i="3"/>
  <c r="M17" i="3"/>
  <c r="K17" i="3"/>
  <c r="J17" i="3"/>
  <c r="I17" i="3"/>
  <c r="H17" i="3"/>
  <c r="G17" i="3"/>
  <c r="F17" i="3"/>
  <c r="E17" i="3"/>
  <c r="D17" i="3"/>
  <c r="C17" i="3"/>
  <c r="B17" i="3"/>
  <c r="A17" i="3"/>
  <c r="BC16" i="3"/>
  <c r="BB16" i="3"/>
  <c r="BA16" i="3"/>
  <c r="AY16" i="3"/>
  <c r="AX16" i="3"/>
  <c r="AW16" i="3"/>
  <c r="AV16" i="3"/>
  <c r="AU16" i="3"/>
  <c r="AQ16" i="3"/>
  <c r="AP16" i="3"/>
  <c r="AO16" i="3"/>
  <c r="AG16" i="3"/>
  <c r="AD16" i="3"/>
  <c r="AC16" i="3"/>
  <c r="AA16" i="3"/>
  <c r="Z16" i="3"/>
  <c r="Y16" i="3"/>
  <c r="U16" i="3"/>
  <c r="T16" i="3"/>
  <c r="R16" i="3"/>
  <c r="O16" i="3"/>
  <c r="N16" i="3"/>
  <c r="M16" i="3"/>
  <c r="I16" i="3"/>
  <c r="F16" i="3"/>
  <c r="E16" i="3"/>
  <c r="D16" i="3"/>
  <c r="C16" i="3"/>
  <c r="B16" i="3"/>
  <c r="A16" i="3"/>
  <c r="BC15" i="3"/>
  <c r="AY15" i="3"/>
  <c r="AX15" i="3"/>
  <c r="AW15" i="3"/>
  <c r="AT15" i="3"/>
  <c r="AS15" i="3"/>
  <c r="AB15" i="3"/>
  <c r="Z15" i="3"/>
  <c r="Y15" i="3"/>
  <c r="X15" i="3"/>
  <c r="W15" i="3"/>
  <c r="V15" i="3"/>
  <c r="F15" i="3"/>
  <c r="AD15" i="3" s="1"/>
  <c r="E15" i="3"/>
  <c r="D15" i="3"/>
  <c r="C15" i="3"/>
  <c r="B15" i="3"/>
  <c r="A15" i="3"/>
  <c r="BB14" i="3"/>
  <c r="BA14" i="3"/>
  <c r="AD14" i="3"/>
  <c r="AC14" i="3"/>
  <c r="F14" i="3"/>
  <c r="E14" i="3"/>
  <c r="AQ14" i="3" s="1"/>
  <c r="D14" i="3"/>
  <c r="C14" i="3"/>
  <c r="B14" i="3"/>
  <c r="A14" i="3"/>
  <c r="AX13" i="3"/>
  <c r="AT13" i="3"/>
  <c r="AP13" i="3"/>
  <c r="AO13" i="3"/>
  <c r="AN13" i="3"/>
  <c r="AM13" i="3"/>
  <c r="AL13" i="3"/>
  <c r="X13" i="3"/>
  <c r="V13" i="3"/>
  <c r="U13" i="3"/>
  <c r="T13" i="3"/>
  <c r="S13" i="3"/>
  <c r="R13" i="3"/>
  <c r="Q13" i="3"/>
  <c r="F13" i="3"/>
  <c r="E13" i="3"/>
  <c r="AC13" i="3" s="1"/>
  <c r="D13" i="3"/>
  <c r="C13" i="3"/>
  <c r="B13" i="3"/>
  <c r="A13" i="3"/>
  <c r="AX12" i="3"/>
  <c r="AC12" i="3"/>
  <c r="F12" i="3"/>
  <c r="E12" i="3"/>
  <c r="AP12" i="3" s="1"/>
  <c r="D12" i="3"/>
  <c r="C12" i="3"/>
  <c r="B12" i="3"/>
  <c r="A12" i="3"/>
  <c r="AW11" i="3"/>
  <c r="AT11" i="3"/>
  <c r="AR11" i="3"/>
  <c r="AP11" i="3"/>
  <c r="AO11" i="3"/>
  <c r="X11" i="3"/>
  <c r="W11" i="3"/>
  <c r="V11" i="3"/>
  <c r="T11" i="3"/>
  <c r="S11" i="3"/>
  <c r="F11" i="3"/>
  <c r="E11" i="3"/>
  <c r="BC11" i="3" s="1"/>
  <c r="D11" i="3"/>
  <c r="C11" i="3"/>
  <c r="B11" i="3"/>
  <c r="A11" i="3"/>
  <c r="BB10" i="3"/>
  <c r="AT10" i="3"/>
  <c r="AS10" i="3"/>
  <c r="AR10" i="3"/>
  <c r="AP10" i="3"/>
  <c r="AO10" i="3"/>
  <c r="AL10" i="3"/>
  <c r="AJ10" i="3"/>
  <c r="AH10" i="3"/>
  <c r="AG10" i="3"/>
  <c r="AF10" i="3"/>
  <c r="Y10" i="3"/>
  <c r="U10" i="3"/>
  <c r="T10" i="3"/>
  <c r="R10" i="3"/>
  <c r="P10" i="3"/>
  <c r="O10" i="3"/>
  <c r="N10" i="3"/>
  <c r="M10" i="3"/>
  <c r="L10" i="3"/>
  <c r="K10" i="3"/>
  <c r="F10" i="3"/>
  <c r="AC10" i="3" s="1"/>
  <c r="E10" i="3"/>
  <c r="D10" i="3"/>
  <c r="C10" i="3"/>
  <c r="B10" i="3"/>
  <c r="A10" i="3"/>
  <c r="AX9" i="3"/>
  <c r="AW9" i="3"/>
  <c r="AT9" i="3"/>
  <c r="Y9" i="3"/>
  <c r="X9" i="3"/>
  <c r="F9" i="3"/>
  <c r="E9" i="3"/>
  <c r="T9" i="3" s="1"/>
  <c r="D9" i="3"/>
  <c r="C9" i="3"/>
  <c r="B9" i="3"/>
  <c r="A9" i="3"/>
  <c r="BB8" i="3"/>
  <c r="AV8" i="3"/>
  <c r="AU8" i="3"/>
  <c r="AT8" i="3"/>
  <c r="AS8" i="3"/>
  <c r="AR8" i="3"/>
  <c r="AQ8" i="3"/>
  <c r="AP8" i="3"/>
  <c r="AO8" i="3"/>
  <c r="AL8" i="3"/>
  <c r="AJ8" i="3"/>
  <c r="AE8" i="3"/>
  <c r="AA8" i="3"/>
  <c r="Z8" i="3"/>
  <c r="Y8" i="3"/>
  <c r="V8" i="3"/>
  <c r="U8" i="3"/>
  <c r="T8" i="3"/>
  <c r="R8" i="3"/>
  <c r="P8" i="3"/>
  <c r="O8" i="3"/>
  <c r="N8" i="3"/>
  <c r="J8" i="3"/>
  <c r="F8" i="3"/>
  <c r="E8" i="3"/>
  <c r="D8" i="3"/>
  <c r="C8" i="3"/>
  <c r="B8" i="3"/>
  <c r="A8" i="3"/>
  <c r="AX7" i="3"/>
  <c r="AW7" i="3"/>
  <c r="Y7" i="3"/>
  <c r="F7" i="3"/>
  <c r="E7" i="3"/>
  <c r="V7" i="3" s="1"/>
  <c r="D7" i="3"/>
  <c r="C7" i="3"/>
  <c r="B7" i="3"/>
  <c r="A7" i="3"/>
  <c r="AR6" i="3"/>
  <c r="AQ6" i="3"/>
  <c r="AP6" i="3"/>
  <c r="AO6" i="3"/>
  <c r="AM6" i="3"/>
  <c r="AL6" i="3"/>
  <c r="W6" i="3"/>
  <c r="V6" i="3"/>
  <c r="U6" i="3"/>
  <c r="T6" i="3"/>
  <c r="R6" i="3"/>
  <c r="Q6" i="3"/>
  <c r="F6" i="3"/>
  <c r="E6" i="3"/>
  <c r="AD6" i="3" s="1"/>
  <c r="D6" i="3"/>
  <c r="C6" i="3"/>
  <c r="B6" i="3"/>
  <c r="A6" i="3"/>
  <c r="J11" i="1"/>
  <c r="F11" i="1"/>
  <c r="A11" i="1"/>
  <c r="F6" i="1"/>
  <c r="J6" i="1" s="1"/>
  <c r="A6" i="1"/>
  <c r="K12" i="3" l="1"/>
  <c r="BB7" i="3"/>
  <c r="H9" i="3"/>
  <c r="AH12" i="3"/>
  <c r="BB25" i="3"/>
  <c r="AL25" i="3"/>
  <c r="V25" i="3"/>
  <c r="AQ25" i="3"/>
  <c r="Z25" i="3"/>
  <c r="I25" i="3"/>
  <c r="AP25" i="3"/>
  <c r="Y25" i="3"/>
  <c r="H25" i="3"/>
  <c r="AO25" i="3"/>
  <c r="X25" i="3"/>
  <c r="G25" i="3"/>
  <c r="BC25" i="3"/>
  <c r="AK25" i="3"/>
  <c r="T25" i="3"/>
  <c r="AX25" i="3"/>
  <c r="AG25" i="3"/>
  <c r="P25" i="3"/>
  <c r="AU25" i="3"/>
  <c r="AD25" i="3"/>
  <c r="M25" i="3"/>
  <c r="BD25" i="3"/>
  <c r="AC25" i="3"/>
  <c r="BA25" i="3"/>
  <c r="AB25" i="3"/>
  <c r="AY25" i="3"/>
  <c r="W25" i="3"/>
  <c r="AW25" i="3"/>
  <c r="U25" i="3"/>
  <c r="S25" i="3"/>
  <c r="AV25" i="3"/>
  <c r="AO37" i="3"/>
  <c r="Y37" i="3"/>
  <c r="I37" i="3"/>
  <c r="BB37" i="3"/>
  <c r="AL37" i="3"/>
  <c r="V37" i="3"/>
  <c r="AU37" i="3"/>
  <c r="AC37" i="3"/>
  <c r="K37" i="3"/>
  <c r="AQ37" i="3"/>
  <c r="W37" i="3"/>
  <c r="AP37" i="3"/>
  <c r="U37" i="3"/>
  <c r="AN37" i="3"/>
  <c r="T37" i="3"/>
  <c r="BD37" i="3"/>
  <c r="AJ37" i="3"/>
  <c r="Q37" i="3"/>
  <c r="AY37" i="3"/>
  <c r="AF37" i="3"/>
  <c r="M37" i="3"/>
  <c r="AV37" i="3"/>
  <c r="AB37" i="3"/>
  <c r="H37" i="3"/>
  <c r="AA37" i="3"/>
  <c r="BC37" i="3"/>
  <c r="Z37" i="3"/>
  <c r="AZ37" i="3"/>
  <c r="S37" i="3"/>
  <c r="AX37" i="3"/>
  <c r="R37" i="3"/>
  <c r="AW37" i="3"/>
  <c r="P37" i="3"/>
  <c r="AS37" i="3"/>
  <c r="BD75" i="3"/>
  <c r="AW75" i="3"/>
  <c r="AT75" i="3"/>
  <c r="AI75" i="3"/>
  <c r="AH75" i="3"/>
  <c r="AA75" i="3"/>
  <c r="G75" i="3"/>
  <c r="AO75" i="3"/>
  <c r="AG75" i="3"/>
  <c r="AD75" i="3"/>
  <c r="H75" i="3"/>
  <c r="Y75" i="3"/>
  <c r="Y6" i="3"/>
  <c r="AS6" i="3"/>
  <c r="L7" i="3"/>
  <c r="AI7" i="3"/>
  <c r="I9" i="3"/>
  <c r="AG9" i="3"/>
  <c r="BB9" i="3"/>
  <c r="AB11" i="3"/>
  <c r="AY11" i="3"/>
  <c r="N12" i="3"/>
  <c r="AJ12" i="3"/>
  <c r="W13" i="3"/>
  <c r="AW13" i="3"/>
  <c r="N14" i="3"/>
  <c r="AK14" i="3"/>
  <c r="AV15" i="3"/>
  <c r="AF15" i="3"/>
  <c r="P15" i="3"/>
  <c r="AU15" i="3"/>
  <c r="AE15" i="3"/>
  <c r="O15" i="3"/>
  <c r="AQ15" i="3"/>
  <c r="AA15" i="3"/>
  <c r="K15" i="3"/>
  <c r="AZ15" i="3"/>
  <c r="AJ15" i="3"/>
  <c r="T15" i="3"/>
  <c r="AL15" i="3"/>
  <c r="Q15" i="3"/>
  <c r="BB15" i="3"/>
  <c r="AG15" i="3"/>
  <c r="J15" i="3"/>
  <c r="BA15" i="3"/>
  <c r="I15" i="3"/>
  <c r="AC15" i="3"/>
  <c r="BD15" i="3"/>
  <c r="AM22" i="3"/>
  <c r="AR25" i="3"/>
  <c r="AO35" i="3"/>
  <c r="Y35" i="3"/>
  <c r="I35" i="3"/>
  <c r="BB35" i="3"/>
  <c r="AL35" i="3"/>
  <c r="V35" i="3"/>
  <c r="AY35" i="3"/>
  <c r="AG35" i="3"/>
  <c r="O35" i="3"/>
  <c r="AN35" i="3"/>
  <c r="T35" i="3"/>
  <c r="AM35" i="3"/>
  <c r="S35" i="3"/>
  <c r="AK35" i="3"/>
  <c r="R35" i="3"/>
  <c r="BA35" i="3"/>
  <c r="AH35" i="3"/>
  <c r="N35" i="3"/>
  <c r="AV35" i="3"/>
  <c r="AC35" i="3"/>
  <c r="J35" i="3"/>
  <c r="AS35" i="3"/>
  <c r="Z35" i="3"/>
  <c r="AB35" i="3"/>
  <c r="BD35" i="3"/>
  <c r="AA35" i="3"/>
  <c r="AZ35" i="3"/>
  <c r="W35" i="3"/>
  <c r="AX35" i="3"/>
  <c r="U35" i="3"/>
  <c r="AW35" i="3"/>
  <c r="Q35" i="3"/>
  <c r="AR35" i="3"/>
  <c r="AT37" i="3"/>
  <c r="AY43" i="3"/>
  <c r="AI43" i="3"/>
  <c r="S43" i="3"/>
  <c r="AS43" i="3"/>
  <c r="AQ43" i="3"/>
  <c r="Z43" i="3"/>
  <c r="I43" i="3"/>
  <c r="AN43" i="3"/>
  <c r="W43" i="3"/>
  <c r="BC43" i="3"/>
  <c r="AH43" i="3"/>
  <c r="O43" i="3"/>
  <c r="AX43" i="3"/>
  <c r="AC43" i="3"/>
  <c r="H43" i="3"/>
  <c r="AW43" i="3"/>
  <c r="AB43" i="3"/>
  <c r="G43" i="3"/>
  <c r="AV43" i="3"/>
  <c r="AA43" i="3"/>
  <c r="AT43" i="3"/>
  <c r="X43" i="3"/>
  <c r="AR43" i="3"/>
  <c r="V43" i="3"/>
  <c r="AL43" i="3"/>
  <c r="Q43" i="3"/>
  <c r="BD43" i="3"/>
  <c r="AG43" i="3"/>
  <c r="M43" i="3"/>
  <c r="T43" i="3"/>
  <c r="R43" i="3"/>
  <c r="BA43" i="3"/>
  <c r="N43" i="3"/>
  <c r="AZ43" i="3"/>
  <c r="L43" i="3"/>
  <c r="AU43" i="3"/>
  <c r="K43" i="3"/>
  <c r="AK43" i="3"/>
  <c r="O12" i="3"/>
  <c r="BA37" i="3"/>
  <c r="H11" i="3"/>
  <c r="Z13" i="3"/>
  <c r="P14" i="3"/>
  <c r="AT18" i="3"/>
  <c r="AD18" i="3"/>
  <c r="N18" i="3"/>
  <c r="AU18" i="3"/>
  <c r="AC18" i="3"/>
  <c r="L18" i="3"/>
  <c r="AS18" i="3"/>
  <c r="AB18" i="3"/>
  <c r="K18" i="3"/>
  <c r="AR18" i="3"/>
  <c r="AA18" i="3"/>
  <c r="J18" i="3"/>
  <c r="AO18" i="3"/>
  <c r="X18" i="3"/>
  <c r="G18" i="3"/>
  <c r="AY18" i="3"/>
  <c r="AH18" i="3"/>
  <c r="Q18" i="3"/>
  <c r="AV18" i="3"/>
  <c r="U18" i="3"/>
  <c r="AM18" i="3"/>
  <c r="P18" i="3"/>
  <c r="AL18" i="3"/>
  <c r="O18" i="3"/>
  <c r="AJ18" i="3"/>
  <c r="AV22" i="3"/>
  <c r="K25" i="3"/>
  <c r="AT25" i="3"/>
  <c r="AT28" i="3"/>
  <c r="AD28" i="3"/>
  <c r="N28" i="3"/>
  <c r="AY28" i="3"/>
  <c r="AH28" i="3"/>
  <c r="Q28" i="3"/>
  <c r="BB28" i="3"/>
  <c r="AJ28" i="3"/>
  <c r="R28" i="3"/>
  <c r="AI28" i="3"/>
  <c r="BA28" i="3"/>
  <c r="P28" i="3"/>
  <c r="AZ28" i="3"/>
  <c r="AG28" i="3"/>
  <c r="O28" i="3"/>
  <c r="AV28" i="3"/>
  <c r="AC28" i="3"/>
  <c r="K28" i="3"/>
  <c r="AQ28" i="3"/>
  <c r="Y28" i="3"/>
  <c r="G28" i="3"/>
  <c r="AN28" i="3"/>
  <c r="V28" i="3"/>
  <c r="AS28" i="3"/>
  <c r="S28" i="3"/>
  <c r="AR28" i="3"/>
  <c r="M28" i="3"/>
  <c r="AO28" i="3"/>
  <c r="J28" i="3"/>
  <c r="AM28" i="3"/>
  <c r="I28" i="3"/>
  <c r="H28" i="3"/>
  <c r="AL28" i="3"/>
  <c r="AX28" i="3"/>
  <c r="J37" i="3"/>
  <c r="AQ44" i="3"/>
  <c r="AA44" i="3"/>
  <c r="K44" i="3"/>
  <c r="AN44" i="3"/>
  <c r="W44" i="3"/>
  <c r="BC44" i="3"/>
  <c r="AL44" i="3"/>
  <c r="U44" i="3"/>
  <c r="AZ44" i="3"/>
  <c r="AI44" i="3"/>
  <c r="R44" i="3"/>
  <c r="AK44" i="3"/>
  <c r="P44" i="3"/>
  <c r="AH44" i="3"/>
  <c r="M44" i="3"/>
  <c r="BD44" i="3"/>
  <c r="AG44" i="3"/>
  <c r="L44" i="3"/>
  <c r="BB44" i="3"/>
  <c r="AF44" i="3"/>
  <c r="J44" i="3"/>
  <c r="AY44" i="3"/>
  <c r="AD44" i="3"/>
  <c r="H44" i="3"/>
  <c r="AX44" i="3"/>
  <c r="AC44" i="3"/>
  <c r="G44" i="3"/>
  <c r="AT44" i="3"/>
  <c r="X44" i="3"/>
  <c r="AP44" i="3"/>
  <c r="S44" i="3"/>
  <c r="AM44" i="3"/>
  <c r="AJ44" i="3"/>
  <c r="AB44" i="3"/>
  <c r="Z44" i="3"/>
  <c r="Y44" i="3"/>
  <c r="BA44" i="3"/>
  <c r="O44" i="3"/>
  <c r="AE14" i="3"/>
  <c r="AL14" i="3"/>
  <c r="AV6" i="3"/>
  <c r="AI9" i="3"/>
  <c r="BA11" i="3"/>
  <c r="AH15" i="3"/>
  <c r="AK9" i="3"/>
  <c r="I11" i="3"/>
  <c r="BA13" i="3"/>
  <c r="AI15" i="3"/>
  <c r="I22" i="3"/>
  <c r="AW22" i="3"/>
  <c r="AZ25" i="3"/>
  <c r="BC28" i="3"/>
  <c r="H35" i="3"/>
  <c r="BC35" i="3"/>
  <c r="L37" i="3"/>
  <c r="AQ48" i="3"/>
  <c r="AA48" i="3"/>
  <c r="K48" i="3"/>
  <c r="AP48" i="3"/>
  <c r="Z48" i="3"/>
  <c r="J48" i="3"/>
  <c r="BB48" i="3"/>
  <c r="AL48" i="3"/>
  <c r="V48" i="3"/>
  <c r="AW48" i="3"/>
  <c r="AD48" i="3"/>
  <c r="I48" i="3"/>
  <c r="AU48" i="3"/>
  <c r="AB48" i="3"/>
  <c r="G48" i="3"/>
  <c r="AR48" i="3"/>
  <c r="W48" i="3"/>
  <c r="BD48" i="3"/>
  <c r="AG48" i="3"/>
  <c r="H48" i="3"/>
  <c r="AY48" i="3"/>
  <c r="Y48" i="3"/>
  <c r="AK48" i="3"/>
  <c r="M48" i="3"/>
  <c r="AJ48" i="3"/>
  <c r="L48" i="3"/>
  <c r="AI48" i="3"/>
  <c r="AF48" i="3"/>
  <c r="AE48" i="3"/>
  <c r="AX48" i="3"/>
  <c r="T48" i="3"/>
  <c r="AS48" i="3"/>
  <c r="Q48" i="3"/>
  <c r="AV48" i="3"/>
  <c r="AT48" i="3"/>
  <c r="AN48" i="3"/>
  <c r="AM48" i="3"/>
  <c r="AH48" i="3"/>
  <c r="AC48" i="3"/>
  <c r="S48" i="3"/>
  <c r="BD7" i="3"/>
  <c r="L14" i="3"/>
  <c r="P12" i="3"/>
  <c r="G15" i="3"/>
  <c r="AW6" i="3"/>
  <c r="AO12" i="3"/>
  <c r="AP14" i="3"/>
  <c r="BD8" i="3"/>
  <c r="AN8" i="3"/>
  <c r="X8" i="3"/>
  <c r="H8" i="3"/>
  <c r="AM8" i="3"/>
  <c r="W8" i="3"/>
  <c r="BC8" i="3"/>
  <c r="G8" i="3"/>
  <c r="AY8" i="3"/>
  <c r="AI8" i="3"/>
  <c r="S8" i="3"/>
  <c r="AK8" i="3"/>
  <c r="Q8" i="3"/>
  <c r="AZ8" i="3"/>
  <c r="AF8" i="3"/>
  <c r="M8" i="3"/>
  <c r="AW8" i="3"/>
  <c r="N9" i="3"/>
  <c r="AL9" i="3"/>
  <c r="AU10" i="3"/>
  <c r="J11" i="3"/>
  <c r="AH11" i="3"/>
  <c r="R12" i="3"/>
  <c r="G13" i="3"/>
  <c r="L15" i="3"/>
  <c r="AK15" i="3"/>
  <c r="H18" i="3"/>
  <c r="AN18" i="3"/>
  <c r="AC20" i="3"/>
  <c r="M22" i="3"/>
  <c r="N25" i="3"/>
  <c r="L28" i="3"/>
  <c r="BD28" i="3"/>
  <c r="AI34" i="3"/>
  <c r="K35" i="3"/>
  <c r="N37" i="3"/>
  <c r="AM38" i="3"/>
  <c r="U43" i="3"/>
  <c r="I44" i="3"/>
  <c r="BD12" i="3"/>
  <c r="AN12" i="3"/>
  <c r="X12" i="3"/>
  <c r="H12" i="3"/>
  <c r="BC12" i="3"/>
  <c r="AM12" i="3"/>
  <c r="W12" i="3"/>
  <c r="G12" i="3"/>
  <c r="AY12" i="3"/>
  <c r="AI12" i="3"/>
  <c r="S12" i="3"/>
  <c r="AU12" i="3"/>
  <c r="AB12" i="3"/>
  <c r="I12" i="3"/>
  <c r="AQ12" i="3"/>
  <c r="V12" i="3"/>
  <c r="Z7" i="3"/>
  <c r="AZ12" i="3"/>
  <c r="BD14" i="3"/>
  <c r="AN14" i="3"/>
  <c r="X14" i="3"/>
  <c r="H14" i="3"/>
  <c r="BC14" i="3"/>
  <c r="AM14" i="3"/>
  <c r="W14" i="3"/>
  <c r="G14" i="3"/>
  <c r="AY14" i="3"/>
  <c r="AI14" i="3"/>
  <c r="S14" i="3"/>
  <c r="AZ14" i="3"/>
  <c r="AF14" i="3"/>
  <c r="M14" i="3"/>
  <c r="AU14" i="3"/>
  <c r="AB14" i="3"/>
  <c r="I14" i="3"/>
  <c r="AT14" i="3"/>
  <c r="AA14" i="3"/>
  <c r="AB7" i="3"/>
  <c r="Z9" i="3"/>
  <c r="J12" i="3"/>
  <c r="AE12" i="3"/>
  <c r="AY71" i="3"/>
  <c r="Z71" i="3"/>
  <c r="AX71" i="3"/>
  <c r="Y71" i="3"/>
  <c r="AW71" i="3"/>
  <c r="X71" i="3"/>
  <c r="AT71" i="3"/>
  <c r="V71" i="3"/>
  <c r="AR71" i="3"/>
  <c r="T71" i="3"/>
  <c r="BD71" i="3"/>
  <c r="N71" i="3"/>
  <c r="BC71" i="3"/>
  <c r="L71" i="3"/>
  <c r="BB71" i="3"/>
  <c r="K71" i="3"/>
  <c r="BA71" i="3"/>
  <c r="J71" i="3"/>
  <c r="AO71" i="3"/>
  <c r="H71" i="3"/>
  <c r="AM71" i="3"/>
  <c r="G71" i="3"/>
  <c r="AI71" i="3"/>
  <c r="AD71" i="3"/>
  <c r="AH71" i="3"/>
  <c r="AG71" i="3"/>
  <c r="AB71" i="3"/>
  <c r="R71" i="3"/>
  <c r="I71" i="3"/>
  <c r="AK71" i="3"/>
  <c r="AJ71" i="3"/>
  <c r="Q71" i="3"/>
  <c r="G7" i="3"/>
  <c r="AC7" i="3"/>
  <c r="BA7" i="3"/>
  <c r="AB9" i="3"/>
  <c r="AY9" i="3"/>
  <c r="AF12" i="3"/>
  <c r="J14" i="3"/>
  <c r="AG14" i="3"/>
  <c r="AQ71" i="3"/>
  <c r="H7" i="3"/>
  <c r="G9" i="3"/>
  <c r="AC9" i="3"/>
  <c r="L12" i="3"/>
  <c r="AG12" i="3"/>
  <c r="K14" i="3"/>
  <c r="AH14" i="3"/>
  <c r="I7" i="3"/>
  <c r="AH7" i="3"/>
  <c r="AV11" i="3"/>
  <c r="AF11" i="3"/>
  <c r="P11" i="3"/>
  <c r="AE11" i="3"/>
  <c r="O11" i="3"/>
  <c r="AU11" i="3"/>
  <c r="AQ11" i="3"/>
  <c r="AA11" i="3"/>
  <c r="K11" i="3"/>
  <c r="AS11" i="3"/>
  <c r="Y11" i="3"/>
  <c r="AN11" i="3"/>
  <c r="U11" i="3"/>
  <c r="Z11" i="3"/>
  <c r="AX11" i="3"/>
  <c r="M12" i="3"/>
  <c r="AJ14" i="3"/>
  <c r="AN25" i="3"/>
  <c r="BD6" i="3"/>
  <c r="AN6" i="3"/>
  <c r="X6" i="3"/>
  <c r="H6" i="3"/>
  <c r="BC6" i="3"/>
  <c r="AY6" i="3"/>
  <c r="AI6" i="3"/>
  <c r="S6" i="3"/>
  <c r="AZ6" i="3"/>
  <c r="AG6" i="3"/>
  <c r="O6" i="3"/>
  <c r="AU6" i="3"/>
  <c r="AC6" i="3"/>
  <c r="K6" i="3"/>
  <c r="Z6" i="3"/>
  <c r="AT6" i="3"/>
  <c r="M7" i="3"/>
  <c r="AK7" i="3"/>
  <c r="J9" i="3"/>
  <c r="AH9" i="3"/>
  <c r="BD9" i="3"/>
  <c r="G11" i="3"/>
  <c r="AZ11" i="3"/>
  <c r="AK12" i="3"/>
  <c r="AT22" i="3"/>
  <c r="AD22" i="3"/>
  <c r="N22" i="3"/>
  <c r="AP22" i="3"/>
  <c r="Y22" i="3"/>
  <c r="H22" i="3"/>
  <c r="AO22" i="3"/>
  <c r="X22" i="3"/>
  <c r="G22" i="3"/>
  <c r="AN22" i="3"/>
  <c r="W22" i="3"/>
  <c r="BB22" i="3"/>
  <c r="AK22" i="3"/>
  <c r="T22" i="3"/>
  <c r="AX22" i="3"/>
  <c r="AG22" i="3"/>
  <c r="P22" i="3"/>
  <c r="AU22" i="3"/>
  <c r="AC22" i="3"/>
  <c r="L22" i="3"/>
  <c r="AS22" i="3"/>
  <c r="R22" i="3"/>
  <c r="AR22" i="3"/>
  <c r="Q22" i="3"/>
  <c r="AL22" i="3"/>
  <c r="K22" i="3"/>
  <c r="AJ22" i="3"/>
  <c r="J22" i="3"/>
  <c r="AQ22" i="3"/>
  <c r="J25" i="3"/>
  <c r="AS25" i="3"/>
  <c r="AA6" i="3"/>
  <c r="N7" i="3"/>
  <c r="AD11" i="3"/>
  <c r="AV13" i="3"/>
  <c r="AF13" i="3"/>
  <c r="P13" i="3"/>
  <c r="AE13" i="3"/>
  <c r="O13" i="3"/>
  <c r="AU13" i="3"/>
  <c r="AQ13" i="3"/>
  <c r="AA13" i="3"/>
  <c r="K13" i="3"/>
  <c r="AY13" i="3"/>
  <c r="AD13" i="3"/>
  <c r="J13" i="3"/>
  <c r="AS13" i="3"/>
  <c r="Y13" i="3"/>
  <c r="AR13" i="3"/>
  <c r="AO14" i="3"/>
  <c r="R7" i="3"/>
  <c r="AB13" i="3"/>
  <c r="AK18" i="3"/>
  <c r="L25" i="3"/>
  <c r="AX6" i="3"/>
  <c r="R14" i="3"/>
  <c r="AE6" i="3"/>
  <c r="AO7" i="3"/>
  <c r="AX8" i="3"/>
  <c r="R9" i="3"/>
  <c r="AA10" i="3"/>
  <c r="AV10" i="3"/>
  <c r="L11" i="3"/>
  <c r="AI11" i="3"/>
  <c r="BD11" i="3"/>
  <c r="T12" i="3"/>
  <c r="AR12" i="3"/>
  <c r="H13" i="3"/>
  <c r="AG13" i="3"/>
  <c r="BC13" i="3"/>
  <c r="T14" i="3"/>
  <c r="AR14" i="3"/>
  <c r="M15" i="3"/>
  <c r="AM15" i="3"/>
  <c r="AT16" i="3"/>
  <c r="AN16" i="3"/>
  <c r="X16" i="3"/>
  <c r="H16" i="3"/>
  <c r="BD16" i="3"/>
  <c r="AM16" i="3"/>
  <c r="G16" i="3"/>
  <c r="W16" i="3"/>
  <c r="AZ16" i="3"/>
  <c r="AI16" i="3"/>
  <c r="S16" i="3"/>
  <c r="AR16" i="3"/>
  <c r="AB16" i="3"/>
  <c r="L16" i="3"/>
  <c r="AS16" i="3"/>
  <c r="V16" i="3"/>
  <c r="AL16" i="3"/>
  <c r="Q16" i="3"/>
  <c r="AK16" i="3"/>
  <c r="P16" i="3"/>
  <c r="AE16" i="3"/>
  <c r="I18" i="3"/>
  <c r="AP18" i="3"/>
  <c r="AF20" i="3"/>
  <c r="BB21" i="3"/>
  <c r="AL21" i="3"/>
  <c r="V21" i="3"/>
  <c r="AU21" i="3"/>
  <c r="AD21" i="3"/>
  <c r="M21" i="3"/>
  <c r="AT21" i="3"/>
  <c r="AC21" i="3"/>
  <c r="L21" i="3"/>
  <c r="AS21" i="3"/>
  <c r="AB21" i="3"/>
  <c r="K21" i="3"/>
  <c r="AP21" i="3"/>
  <c r="Y21" i="3"/>
  <c r="H21" i="3"/>
  <c r="BC21" i="3"/>
  <c r="AK21" i="3"/>
  <c r="T21" i="3"/>
  <c r="AY21" i="3"/>
  <c r="AH21" i="3"/>
  <c r="Q21" i="3"/>
  <c r="AX21" i="3"/>
  <c r="W21" i="3"/>
  <c r="AW21" i="3"/>
  <c r="AQ21" i="3"/>
  <c r="P21" i="3"/>
  <c r="O21" i="3"/>
  <c r="AO21" i="3"/>
  <c r="AJ21" i="3"/>
  <c r="O22" i="3"/>
  <c r="AZ22" i="3"/>
  <c r="O25" i="3"/>
  <c r="T28" i="3"/>
  <c r="AN34" i="3"/>
  <c r="L35" i="3"/>
  <c r="O37" i="3"/>
  <c r="AN38" i="3"/>
  <c r="Y43" i="3"/>
  <c r="N44" i="3"/>
  <c r="N48" i="3"/>
  <c r="AZ7" i="3"/>
  <c r="BB12" i="3"/>
  <c r="AG7" i="3"/>
  <c r="AZ9" i="3"/>
  <c r="AD9" i="3"/>
  <c r="AL7" i="3"/>
  <c r="AL12" i="3"/>
  <c r="AZ13" i="3"/>
  <c r="AG11" i="3"/>
  <c r="Q12" i="3"/>
  <c r="Q14" i="3"/>
  <c r="H15" i="3"/>
  <c r="I6" i="3"/>
  <c r="S7" i="3"/>
  <c r="AN7" i="3"/>
  <c r="AB8" i="3"/>
  <c r="Z10" i="3"/>
  <c r="BB13" i="3"/>
  <c r="J6" i="3"/>
  <c r="BA6" i="3"/>
  <c r="T7" i="3"/>
  <c r="AC8" i="3"/>
  <c r="AM9" i="3"/>
  <c r="L6" i="3"/>
  <c r="AF6" i="3"/>
  <c r="BB6" i="3"/>
  <c r="U7" i="3"/>
  <c r="AP7" i="3"/>
  <c r="I8" i="3"/>
  <c r="AD8" i="3"/>
  <c r="BA8" i="3"/>
  <c r="S9" i="3"/>
  <c r="AO9" i="3"/>
  <c r="BD10" i="3"/>
  <c r="AN10" i="3"/>
  <c r="X10" i="3"/>
  <c r="H10" i="3"/>
  <c r="BC10" i="3"/>
  <c r="AM10" i="3"/>
  <c r="W10" i="3"/>
  <c r="G10" i="3"/>
  <c r="AY10" i="3"/>
  <c r="AI10" i="3"/>
  <c r="S10" i="3"/>
  <c r="AQ10" i="3"/>
  <c r="V10" i="3"/>
  <c r="AK10" i="3"/>
  <c r="Q10" i="3"/>
  <c r="AB10" i="3"/>
  <c r="AW10" i="3"/>
  <c r="M11" i="3"/>
  <c r="AJ11" i="3"/>
  <c r="U12" i="3"/>
  <c r="AS12" i="3"/>
  <c r="I13" i="3"/>
  <c r="AH13" i="3"/>
  <c r="BD13" i="3"/>
  <c r="U14" i="3"/>
  <c r="AS14" i="3"/>
  <c r="N15" i="3"/>
  <c r="AN15" i="3"/>
  <c r="AF16" i="3"/>
  <c r="M18" i="3"/>
  <c r="AQ18" i="3"/>
  <c r="AM21" i="3"/>
  <c r="S22" i="3"/>
  <c r="BA22" i="3"/>
  <c r="Q25" i="3"/>
  <c r="U28" i="3"/>
  <c r="M35" i="3"/>
  <c r="X37" i="3"/>
  <c r="AD43" i="3"/>
  <c r="Q44" i="3"/>
  <c r="O48" i="3"/>
  <c r="AC11" i="3"/>
  <c r="G37" i="3"/>
  <c r="AB6" i="3"/>
  <c r="AM7" i="3"/>
  <c r="M9" i="3"/>
  <c r="BB11" i="3"/>
  <c r="AR7" i="3"/>
  <c r="AP9" i="3"/>
  <c r="AX10" i="3"/>
  <c r="AT12" i="3"/>
  <c r="AI13" i="3"/>
  <c r="AV14" i="3"/>
  <c r="AT20" i="3"/>
  <c r="AD20" i="3"/>
  <c r="N20" i="3"/>
  <c r="BA20" i="3"/>
  <c r="AJ20" i="3"/>
  <c r="S20" i="3"/>
  <c r="AZ20" i="3"/>
  <c r="R20" i="3"/>
  <c r="AI20" i="3"/>
  <c r="AY20" i="3"/>
  <c r="AH20" i="3"/>
  <c r="Q20" i="3"/>
  <c r="AV20" i="3"/>
  <c r="AE20" i="3"/>
  <c r="M20" i="3"/>
  <c r="AQ20" i="3"/>
  <c r="Z20" i="3"/>
  <c r="I20" i="3"/>
  <c r="AN20" i="3"/>
  <c r="W20" i="3"/>
  <c r="BD20" i="3"/>
  <c r="AB20" i="3"/>
  <c r="AW20" i="3"/>
  <c r="V20" i="3"/>
  <c r="AU20" i="3"/>
  <c r="U20" i="3"/>
  <c r="U22" i="3"/>
  <c r="BC22" i="3"/>
  <c r="R25" i="3"/>
  <c r="W28" i="3"/>
  <c r="AW34" i="3"/>
  <c r="AT34" i="3"/>
  <c r="AD34" i="3"/>
  <c r="N34" i="3"/>
  <c r="BB34" i="3"/>
  <c r="AJ34" i="3"/>
  <c r="S34" i="3"/>
  <c r="AM34" i="3"/>
  <c r="U34" i="3"/>
  <c r="AL34" i="3"/>
  <c r="T34" i="3"/>
  <c r="BD34" i="3"/>
  <c r="AK34" i="3"/>
  <c r="R34" i="3"/>
  <c r="AZ34" i="3"/>
  <c r="AG34" i="3"/>
  <c r="O34" i="3"/>
  <c r="AU34" i="3"/>
  <c r="AB34" i="3"/>
  <c r="J34" i="3"/>
  <c r="AQ34" i="3"/>
  <c r="Y34" i="3"/>
  <c r="G34" i="3"/>
  <c r="AC34" i="3"/>
  <c r="AA34" i="3"/>
  <c r="BA34" i="3"/>
  <c r="X34" i="3"/>
  <c r="AY34" i="3"/>
  <c r="W34" i="3"/>
  <c r="AX34" i="3"/>
  <c r="V34" i="3"/>
  <c r="AP34" i="3"/>
  <c r="P35" i="3"/>
  <c r="AD37" i="3"/>
  <c r="AP38" i="3"/>
  <c r="W38" i="3"/>
  <c r="AO38" i="3"/>
  <c r="V38" i="3"/>
  <c r="AL38" i="3"/>
  <c r="S38" i="3"/>
  <c r="BA38" i="3"/>
  <c r="AH38" i="3"/>
  <c r="M38" i="3"/>
  <c r="AX38" i="3"/>
  <c r="AC38" i="3"/>
  <c r="J38" i="3"/>
  <c r="BD38" i="3"/>
  <c r="AA38" i="3"/>
  <c r="BC38" i="3"/>
  <c r="Y38" i="3"/>
  <c r="AZ38" i="3"/>
  <c r="T38" i="3"/>
  <c r="AY38" i="3"/>
  <c r="R38" i="3"/>
  <c r="P38" i="3"/>
  <c r="AV38" i="3"/>
  <c r="AU38" i="3"/>
  <c r="AE43" i="3"/>
  <c r="T44" i="3"/>
  <c r="P48" i="3"/>
  <c r="BA12" i="3"/>
  <c r="BA9" i="3"/>
  <c r="O14" i="3"/>
  <c r="L9" i="3"/>
  <c r="G6" i="3"/>
  <c r="M6" i="3"/>
  <c r="AH6" i="3"/>
  <c r="N11" i="3"/>
  <c r="AK11" i="3"/>
  <c r="Y12" i="3"/>
  <c r="L13" i="3"/>
  <c r="V14" i="3"/>
  <c r="R15" i="3"/>
  <c r="AO15" i="3"/>
  <c r="R18" i="3"/>
  <c r="AW18" i="3"/>
  <c r="AK20" i="3"/>
  <c r="AJ6" i="3"/>
  <c r="AG8" i="3"/>
  <c r="AZ10" i="3"/>
  <c r="AJ13" i="3"/>
  <c r="S15" i="3"/>
  <c r="AX18" i="3"/>
  <c r="I21" i="3"/>
  <c r="AR21" i="3"/>
  <c r="V22" i="3"/>
  <c r="BD22" i="3"/>
  <c r="AA25" i="3"/>
  <c r="AT26" i="3"/>
  <c r="AD26" i="3"/>
  <c r="N26" i="3"/>
  <c r="AR26" i="3"/>
  <c r="AA26" i="3"/>
  <c r="J26" i="3"/>
  <c r="AN26" i="3"/>
  <c r="V26" i="3"/>
  <c r="AM26" i="3"/>
  <c r="U26" i="3"/>
  <c r="BD26" i="3"/>
  <c r="AL26" i="3"/>
  <c r="T26" i="3"/>
  <c r="BA26" i="3"/>
  <c r="AI26" i="3"/>
  <c r="Q26" i="3"/>
  <c r="AW26" i="3"/>
  <c r="AE26" i="3"/>
  <c r="L26" i="3"/>
  <c r="AS26" i="3"/>
  <c r="Z26" i="3"/>
  <c r="H26" i="3"/>
  <c r="AZ26" i="3"/>
  <c r="X26" i="3"/>
  <c r="AY26" i="3"/>
  <c r="W26" i="3"/>
  <c r="AV26" i="3"/>
  <c r="R26" i="3"/>
  <c r="AU26" i="3"/>
  <c r="P26" i="3"/>
  <c r="AQ26" i="3"/>
  <c r="O26" i="3"/>
  <c r="AP26" i="3"/>
  <c r="X28" i="3"/>
  <c r="AR34" i="3"/>
  <c r="X35" i="3"/>
  <c r="AW36" i="3"/>
  <c r="AG36" i="3"/>
  <c r="Q36" i="3"/>
  <c r="AT36" i="3"/>
  <c r="AD36" i="3"/>
  <c r="N36" i="3"/>
  <c r="AX36" i="3"/>
  <c r="AE36" i="3"/>
  <c r="L36" i="3"/>
  <c r="AO36" i="3"/>
  <c r="V36" i="3"/>
  <c r="AN36" i="3"/>
  <c r="U36" i="3"/>
  <c r="AM36" i="3"/>
  <c r="T36" i="3"/>
  <c r="BC36" i="3"/>
  <c r="AJ36" i="3"/>
  <c r="P36" i="3"/>
  <c r="AY36" i="3"/>
  <c r="AC36" i="3"/>
  <c r="J36" i="3"/>
  <c r="AS36" i="3"/>
  <c r="Z36" i="3"/>
  <c r="G36" i="3"/>
  <c r="AA36" i="3"/>
  <c r="BD36" i="3"/>
  <c r="Y36" i="3"/>
  <c r="BA36" i="3"/>
  <c r="W36" i="3"/>
  <c r="AZ36" i="3"/>
  <c r="S36" i="3"/>
  <c r="AV36" i="3"/>
  <c r="R36" i="3"/>
  <c r="AR36" i="3"/>
  <c r="AE37" i="3"/>
  <c r="G38" i="3"/>
  <c r="BB38" i="3"/>
  <c r="AF43" i="3"/>
  <c r="V44" i="3"/>
  <c r="R48" i="3"/>
  <c r="Y65" i="3"/>
  <c r="K65" i="3"/>
  <c r="BA65" i="3"/>
  <c r="AX65" i="3"/>
  <c r="N65" i="3"/>
  <c r="M65" i="3"/>
  <c r="J65" i="3"/>
  <c r="G65" i="3"/>
  <c r="AV7" i="3"/>
  <c r="AF7" i="3"/>
  <c r="P7" i="3"/>
  <c r="AU7" i="3"/>
  <c r="O7" i="3"/>
  <c r="AE7" i="3"/>
  <c r="AQ7" i="3"/>
  <c r="AA7" i="3"/>
  <c r="K7" i="3"/>
  <c r="BC7" i="3"/>
  <c r="AJ7" i="3"/>
  <c r="Q7" i="3"/>
  <c r="AY7" i="3"/>
  <c r="AD7" i="3"/>
  <c r="J7" i="3"/>
  <c r="AD12" i="3"/>
  <c r="AV9" i="3"/>
  <c r="AF9" i="3"/>
  <c r="P9" i="3"/>
  <c r="AU9" i="3"/>
  <c r="AE9" i="3"/>
  <c r="O9" i="3"/>
  <c r="AQ9" i="3"/>
  <c r="AA9" i="3"/>
  <c r="K9" i="3"/>
  <c r="AN9" i="3"/>
  <c r="U9" i="3"/>
  <c r="BC9" i="3"/>
  <c r="AJ9" i="3"/>
  <c r="Q9" i="3"/>
  <c r="N6" i="3"/>
  <c r="W7" i="3"/>
  <c r="AS7" i="3"/>
  <c r="K8" i="3"/>
  <c r="V9" i="3"/>
  <c r="AR9" i="3"/>
  <c r="I10" i="3"/>
  <c r="AD10" i="3"/>
  <c r="Q11" i="3"/>
  <c r="AL11" i="3"/>
  <c r="Z12" i="3"/>
  <c r="AV12" i="3"/>
  <c r="M13" i="3"/>
  <c r="Y14" i="3"/>
  <c r="AW14" i="3"/>
  <c r="AP15" i="3"/>
  <c r="J16" i="3"/>
  <c r="AH16" i="3"/>
  <c r="S18" i="3"/>
  <c r="AL20" i="3"/>
  <c r="P6" i="3"/>
  <c r="AK6" i="3"/>
  <c r="X7" i="3"/>
  <c r="AT7" i="3"/>
  <c r="L8" i="3"/>
  <c r="AH8" i="3"/>
  <c r="W9" i="3"/>
  <c r="AS9" i="3"/>
  <c r="J10" i="3"/>
  <c r="AE10" i="3"/>
  <c r="BA10" i="3"/>
  <c r="R11" i="3"/>
  <c r="AM11" i="3"/>
  <c r="AA12" i="3"/>
  <c r="AW12" i="3"/>
  <c r="N13" i="3"/>
  <c r="AK13" i="3"/>
  <c r="Z14" i="3"/>
  <c r="AX14" i="3"/>
  <c r="U15" i="3"/>
  <c r="AR15" i="3"/>
  <c r="K16" i="3"/>
  <c r="AJ16" i="3"/>
  <c r="T18" i="3"/>
  <c r="AZ18" i="3"/>
  <c r="G20" i="3"/>
  <c r="AM20" i="3"/>
  <c r="J21" i="3"/>
  <c r="AV21" i="3"/>
  <c r="Z22" i="3"/>
  <c r="AE25" i="3"/>
  <c r="AX26" i="3"/>
  <c r="Z28" i="3"/>
  <c r="H34" i="3"/>
  <c r="AS34" i="3"/>
  <c r="AD35" i="3"/>
  <c r="AU36" i="3"/>
  <c r="AG37" i="3"/>
  <c r="I38" i="3"/>
  <c r="AJ43" i="3"/>
  <c r="AE44" i="3"/>
  <c r="U48" i="3"/>
  <c r="AH65" i="3"/>
  <c r="AU54" i="3"/>
  <c r="N54" i="3"/>
  <c r="AT54" i="3"/>
  <c r="I54" i="3"/>
  <c r="AC54" i="3"/>
  <c r="AB54" i="3"/>
  <c r="Y54" i="3"/>
  <c r="W54" i="3"/>
  <c r="V54" i="3"/>
  <c r="BD54" i="3"/>
  <c r="AR54" i="3"/>
  <c r="AT30" i="3"/>
  <c r="AD30" i="3"/>
  <c r="N30" i="3"/>
  <c r="AN30" i="3"/>
  <c r="W30" i="3"/>
  <c r="AW30" i="3"/>
  <c r="AE30" i="3"/>
  <c r="L30" i="3"/>
  <c r="AV30" i="3"/>
  <c r="AC30" i="3"/>
  <c r="K30" i="3"/>
  <c r="AU30" i="3"/>
  <c r="AB30" i="3"/>
  <c r="J30" i="3"/>
  <c r="AQ30" i="3"/>
  <c r="Y30" i="3"/>
  <c r="G30" i="3"/>
  <c r="BD30" i="3"/>
  <c r="AL30" i="3"/>
  <c r="T30" i="3"/>
  <c r="BA30" i="3"/>
  <c r="AI30" i="3"/>
  <c r="Q30" i="3"/>
  <c r="AH30" i="3"/>
  <c r="AX51" i="3"/>
  <c r="AH51" i="3"/>
  <c r="BA51" i="3"/>
  <c r="AJ51" i="3"/>
  <c r="S51" i="3"/>
  <c r="AZ51" i="3"/>
  <c r="AI51" i="3"/>
  <c r="R51" i="3"/>
  <c r="AU51" i="3"/>
  <c r="AD51" i="3"/>
  <c r="N51" i="3"/>
  <c r="BC51" i="3"/>
  <c r="AF51" i="3"/>
  <c r="L51" i="3"/>
  <c r="AY51" i="3"/>
  <c r="AC51" i="3"/>
  <c r="J51" i="3"/>
  <c r="AT51" i="3"/>
  <c r="Z51" i="3"/>
  <c r="G51" i="3"/>
  <c r="BB51" i="3"/>
  <c r="Y51" i="3"/>
  <c r="AW51" i="3"/>
  <c r="X51" i="3"/>
  <c r="AQ51" i="3"/>
  <c r="T51" i="3"/>
  <c r="AB51" i="3"/>
  <c r="AA51" i="3"/>
  <c r="W51" i="3"/>
  <c r="BD51" i="3"/>
  <c r="U51" i="3"/>
  <c r="AV51" i="3"/>
  <c r="Q51" i="3"/>
  <c r="AO51" i="3"/>
  <c r="K51" i="3"/>
  <c r="AL51" i="3"/>
  <c r="AE54" i="3"/>
  <c r="AP58" i="3"/>
  <c r="Z58" i="3"/>
  <c r="J58" i="3"/>
  <c r="AX58" i="3"/>
  <c r="AG58" i="3"/>
  <c r="P58" i="3"/>
  <c r="AW58" i="3"/>
  <c r="AF58" i="3"/>
  <c r="O58" i="3"/>
  <c r="AU58" i="3"/>
  <c r="AD58" i="3"/>
  <c r="M58" i="3"/>
  <c r="AT58" i="3"/>
  <c r="AC58" i="3"/>
  <c r="L58" i="3"/>
  <c r="AS58" i="3"/>
  <c r="AB58" i="3"/>
  <c r="K58" i="3"/>
  <c r="BB58" i="3"/>
  <c r="AA58" i="3"/>
  <c r="BA58" i="3"/>
  <c r="Y58" i="3"/>
  <c r="AZ58" i="3"/>
  <c r="X58" i="3"/>
  <c r="AY58" i="3"/>
  <c r="W58" i="3"/>
  <c r="AQ58" i="3"/>
  <c r="T58" i="3"/>
  <c r="AM58" i="3"/>
  <c r="Q58" i="3"/>
  <c r="AI58" i="3"/>
  <c r="AH58" i="3"/>
  <c r="AE58" i="3"/>
  <c r="S58" i="3"/>
  <c r="AO58" i="3"/>
  <c r="AN58" i="3"/>
  <c r="AL58" i="3"/>
  <c r="AJ58" i="3"/>
  <c r="V58" i="3"/>
  <c r="I58" i="3"/>
  <c r="BD58" i="3"/>
  <c r="BB23" i="3"/>
  <c r="AL23" i="3"/>
  <c r="V23" i="3"/>
  <c r="BA23" i="3"/>
  <c r="AJ23" i="3"/>
  <c r="S23" i="3"/>
  <c r="AZ23" i="3"/>
  <c r="AI23" i="3"/>
  <c r="R23" i="3"/>
  <c r="AY23" i="3"/>
  <c r="AH23" i="3"/>
  <c r="Q23" i="3"/>
  <c r="AV23" i="3"/>
  <c r="AE23" i="3"/>
  <c r="N23" i="3"/>
  <c r="AR23" i="3"/>
  <c r="AA23" i="3"/>
  <c r="J23" i="3"/>
  <c r="AO23" i="3"/>
  <c r="X23" i="3"/>
  <c r="G23" i="3"/>
  <c r="AD23" i="3"/>
  <c r="Y24" i="3"/>
  <c r="BB24" i="3"/>
  <c r="AJ30" i="3"/>
  <c r="BB31" i="3"/>
  <c r="AL31" i="3"/>
  <c r="V31" i="3"/>
  <c r="AY31" i="3"/>
  <c r="AH31" i="3"/>
  <c r="Q31" i="3"/>
  <c r="AS31" i="3"/>
  <c r="AA31" i="3"/>
  <c r="I31" i="3"/>
  <c r="AR31" i="3"/>
  <c r="Z31" i="3"/>
  <c r="H31" i="3"/>
  <c r="AQ31" i="3"/>
  <c r="Y31" i="3"/>
  <c r="G31" i="3"/>
  <c r="AN31" i="3"/>
  <c r="U31" i="3"/>
  <c r="BA31" i="3"/>
  <c r="AI31" i="3"/>
  <c r="P31" i="3"/>
  <c r="AW31" i="3"/>
  <c r="AE31" i="3"/>
  <c r="M31" i="3"/>
  <c r="AG31" i="3"/>
  <c r="AI54" i="3"/>
  <c r="AY64" i="3"/>
  <c r="AV64" i="3"/>
  <c r="AR64" i="3"/>
  <c r="AT64" i="3"/>
  <c r="AE64" i="3"/>
  <c r="M64" i="3"/>
  <c r="AK30" i="3"/>
  <c r="AL45" i="3"/>
  <c r="N45" i="3"/>
  <c r="AD45" i="3"/>
  <c r="H45" i="3"/>
  <c r="AS45" i="3"/>
  <c r="H51" i="3"/>
  <c r="AO54" i="3"/>
  <c r="G58" i="3"/>
  <c r="M30" i="3"/>
  <c r="AO30" i="3"/>
  <c r="I45" i="3"/>
  <c r="AX45" i="3"/>
  <c r="M51" i="3"/>
  <c r="AP52" i="3"/>
  <c r="Z52" i="3"/>
  <c r="J52" i="3"/>
  <c r="AV52" i="3"/>
  <c r="AE52" i="3"/>
  <c r="N52" i="3"/>
  <c r="AU52" i="3"/>
  <c r="AD52" i="3"/>
  <c r="M52" i="3"/>
  <c r="AR52" i="3"/>
  <c r="AA52" i="3"/>
  <c r="AQ52" i="3"/>
  <c r="Y52" i="3"/>
  <c r="H52" i="3"/>
  <c r="AN52" i="3"/>
  <c r="S52" i="3"/>
  <c r="AL52" i="3"/>
  <c r="Q52" i="3"/>
  <c r="BD52" i="3"/>
  <c r="AI52" i="3"/>
  <c r="L52" i="3"/>
  <c r="AY52" i="3"/>
  <c r="V52" i="3"/>
  <c r="AX52" i="3"/>
  <c r="U52" i="3"/>
  <c r="AW52" i="3"/>
  <c r="AO52" i="3"/>
  <c r="O52" i="3"/>
  <c r="AJ52" i="3"/>
  <c r="AH52" i="3"/>
  <c r="AG52" i="3"/>
  <c r="AC52" i="3"/>
  <c r="AB52" i="3"/>
  <c r="BB52" i="3"/>
  <c r="R52" i="3"/>
  <c r="AT52" i="3"/>
  <c r="I52" i="3"/>
  <c r="BC54" i="3"/>
  <c r="N58" i="3"/>
  <c r="O30" i="3"/>
  <c r="AP30" i="3"/>
  <c r="L31" i="3"/>
  <c r="AO31" i="3"/>
  <c r="J45" i="3"/>
  <c r="BA45" i="3"/>
  <c r="O51" i="3"/>
  <c r="R58" i="3"/>
  <c r="Y64" i="3"/>
  <c r="BB17" i="3"/>
  <c r="AL17" i="3"/>
  <c r="V17" i="3"/>
  <c r="U17" i="3"/>
  <c r="AM17" i="3"/>
  <c r="BD17" i="3"/>
  <c r="K19" i="3"/>
  <c r="AB19" i="3"/>
  <c r="AS19" i="3"/>
  <c r="S24" i="3"/>
  <c r="AJ24" i="3"/>
  <c r="S29" i="3"/>
  <c r="AK29" i="3"/>
  <c r="K32" i="3"/>
  <c r="AE32" i="3"/>
  <c r="AW32" i="3"/>
  <c r="AY45" i="3"/>
  <c r="AI45" i="3"/>
  <c r="S45" i="3"/>
  <c r="AZ45" i="3"/>
  <c r="AH45" i="3"/>
  <c r="Q45" i="3"/>
  <c r="AW45" i="3"/>
  <c r="AF45" i="3"/>
  <c r="O45" i="3"/>
  <c r="AT45" i="3"/>
  <c r="AC45" i="3"/>
  <c r="L45" i="3"/>
  <c r="AP45" i="3"/>
  <c r="V45" i="3"/>
  <c r="Z45" i="3"/>
  <c r="AV45" i="3"/>
  <c r="X47" i="3"/>
  <c r="AA61" i="3"/>
  <c r="AE19" i="3"/>
  <c r="AV19" i="3"/>
  <c r="AT24" i="3"/>
  <c r="AD24" i="3"/>
  <c r="N24" i="3"/>
  <c r="V24" i="3"/>
  <c r="AM24" i="3"/>
  <c r="BD24" i="3"/>
  <c r="BB29" i="3"/>
  <c r="AL29" i="3"/>
  <c r="V29" i="3"/>
  <c r="AS29" i="3"/>
  <c r="AB29" i="3"/>
  <c r="K29" i="3"/>
  <c r="W29" i="3"/>
  <c r="AO29" i="3"/>
  <c r="BB45" i="3"/>
  <c r="AY47" i="3"/>
  <c r="AI47" i="3"/>
  <c r="S47" i="3"/>
  <c r="AX47" i="3"/>
  <c r="AH47" i="3"/>
  <c r="R47" i="3"/>
  <c r="AT47" i="3"/>
  <c r="AD47" i="3"/>
  <c r="N47" i="3"/>
  <c r="AU47" i="3"/>
  <c r="AA47" i="3"/>
  <c r="H47" i="3"/>
  <c r="AR47" i="3"/>
  <c r="Y47" i="3"/>
  <c r="AO47" i="3"/>
  <c r="V47" i="3"/>
  <c r="AK47" i="3"/>
  <c r="L47" i="3"/>
  <c r="AC47" i="3"/>
  <c r="BC47" i="3"/>
  <c r="AZ72" i="3"/>
  <c r="AJ72" i="3"/>
  <c r="T72" i="3"/>
  <c r="AX72" i="3"/>
  <c r="AH72" i="3"/>
  <c r="R72" i="3"/>
  <c r="AW72" i="3"/>
  <c r="AB72" i="3"/>
  <c r="AU72" i="3"/>
  <c r="Z72" i="3"/>
  <c r="AS72" i="3"/>
  <c r="V72" i="3"/>
  <c r="AQ72" i="3"/>
  <c r="N72" i="3"/>
  <c r="AP72" i="3"/>
  <c r="M72" i="3"/>
  <c r="AO72" i="3"/>
  <c r="L72" i="3"/>
  <c r="AL72" i="3"/>
  <c r="K72" i="3"/>
  <c r="AI72" i="3"/>
  <c r="J72" i="3"/>
  <c r="AG72" i="3"/>
  <c r="I72" i="3"/>
  <c r="AF72" i="3"/>
  <c r="AE72" i="3"/>
  <c r="AD72" i="3"/>
  <c r="AC72" i="3"/>
  <c r="Y72" i="3"/>
  <c r="S72" i="3"/>
  <c r="O72" i="3"/>
  <c r="AY72" i="3"/>
  <c r="BB72" i="3"/>
  <c r="AV72" i="3"/>
  <c r="AT72" i="3"/>
  <c r="AR72" i="3"/>
  <c r="Q72" i="3"/>
  <c r="L17" i="3"/>
  <c r="AC17" i="3"/>
  <c r="AT17" i="3"/>
  <c r="R19" i="3"/>
  <c r="AI19" i="3"/>
  <c r="I24" i="3"/>
  <c r="Z24" i="3"/>
  <c r="AQ24" i="3"/>
  <c r="I29" i="3"/>
  <c r="AA29" i="3"/>
  <c r="AT29" i="3"/>
  <c r="T32" i="3"/>
  <c r="AL32" i="3"/>
  <c r="R39" i="3"/>
  <c r="S40" i="3"/>
  <c r="R41" i="3"/>
  <c r="U42" i="3"/>
  <c r="M45" i="3"/>
  <c r="AK45" i="3"/>
  <c r="V46" i="3"/>
  <c r="J47" i="3"/>
  <c r="AJ47" i="3"/>
  <c r="AV77" i="3"/>
  <c r="AF77" i="3"/>
  <c r="P77" i="3"/>
  <c r="AU77" i="3"/>
  <c r="AE77" i="3"/>
  <c r="O77" i="3"/>
  <c r="AS77" i="3"/>
  <c r="AC77" i="3"/>
  <c r="M77" i="3"/>
  <c r="AR77" i="3"/>
  <c r="AB77" i="3"/>
  <c r="L77" i="3"/>
  <c r="AP77" i="3"/>
  <c r="Z77" i="3"/>
  <c r="J77" i="3"/>
  <c r="AQ77" i="3"/>
  <c r="U77" i="3"/>
  <c r="AN77" i="3"/>
  <c r="S77" i="3"/>
  <c r="AM77" i="3"/>
  <c r="R77" i="3"/>
  <c r="AL77" i="3"/>
  <c r="Q77" i="3"/>
  <c r="AJ77" i="3"/>
  <c r="K77" i="3"/>
  <c r="AH77" i="3"/>
  <c r="AG77" i="3"/>
  <c r="AD77" i="3"/>
  <c r="AA77" i="3"/>
  <c r="BD77" i="3"/>
  <c r="Y77" i="3"/>
  <c r="BC77" i="3"/>
  <c r="X77" i="3"/>
  <c r="BB77" i="3"/>
  <c r="W77" i="3"/>
  <c r="AY77" i="3"/>
  <c r="N77" i="3"/>
  <c r="AT77" i="3"/>
  <c r="AO77" i="3"/>
  <c r="AK77" i="3"/>
  <c r="AI77" i="3"/>
  <c r="T77" i="3"/>
  <c r="I77" i="3"/>
  <c r="BA77" i="3"/>
  <c r="AZ77" i="3"/>
  <c r="AX77" i="3"/>
  <c r="AW77" i="3"/>
  <c r="AV61" i="3"/>
  <c r="AN61" i="3"/>
  <c r="AM61" i="3"/>
  <c r="AJ61" i="3"/>
  <c r="BB19" i="3"/>
  <c r="AL19" i="3"/>
  <c r="V19" i="3"/>
  <c r="U19" i="3"/>
  <c r="AM19" i="3"/>
  <c r="BD19" i="3"/>
  <c r="L24" i="3"/>
  <c r="AC24" i="3"/>
  <c r="AU24" i="3"/>
  <c r="M29" i="3"/>
  <c r="AE29" i="3"/>
  <c r="AW29" i="3"/>
  <c r="AT32" i="3"/>
  <c r="AD32" i="3"/>
  <c r="N32" i="3"/>
  <c r="AU32" i="3"/>
  <c r="AC32" i="3"/>
  <c r="L32" i="3"/>
  <c r="W32" i="3"/>
  <c r="AO32" i="3"/>
  <c r="AW42" i="3"/>
  <c r="AG42" i="3"/>
  <c r="Q42" i="3"/>
  <c r="AT42" i="3"/>
  <c r="AD42" i="3"/>
  <c r="N42" i="3"/>
  <c r="BB42" i="3"/>
  <c r="AJ42" i="3"/>
  <c r="R42" i="3"/>
  <c r="X42" i="3"/>
  <c r="AQ42" i="3"/>
  <c r="R45" i="3"/>
  <c r="AN45" i="3"/>
  <c r="AQ46" i="3"/>
  <c r="AA46" i="3"/>
  <c r="K46" i="3"/>
  <c r="BB46" i="3"/>
  <c r="AU46" i="3"/>
  <c r="AD46" i="3"/>
  <c r="M46" i="3"/>
  <c r="AS46" i="3"/>
  <c r="AB46" i="3"/>
  <c r="J46" i="3"/>
  <c r="AO46" i="3"/>
  <c r="X46" i="3"/>
  <c r="G46" i="3"/>
  <c r="AX46" i="3"/>
  <c r="AC46" i="3"/>
  <c r="Z46" i="3"/>
  <c r="AY46" i="3"/>
  <c r="O47" i="3"/>
  <c r="AN47" i="3"/>
  <c r="AV53" i="3"/>
  <c r="AQ53" i="3"/>
  <c r="N53" i="3"/>
  <c r="AN53" i="3"/>
  <c r="M53" i="3"/>
  <c r="AM53" i="3"/>
  <c r="L53" i="3"/>
  <c r="AG53" i="3"/>
  <c r="I53" i="3"/>
  <c r="AT53" i="3"/>
  <c r="I61" i="3"/>
  <c r="AP62" i="3"/>
  <c r="Z62" i="3"/>
  <c r="J62" i="3"/>
  <c r="AT62" i="3"/>
  <c r="AC62" i="3"/>
  <c r="L62" i="3"/>
  <c r="AS62" i="3"/>
  <c r="AB62" i="3"/>
  <c r="K62" i="3"/>
  <c r="AQ62" i="3"/>
  <c r="Y62" i="3"/>
  <c r="H62" i="3"/>
  <c r="AO62" i="3"/>
  <c r="X62" i="3"/>
  <c r="G62" i="3"/>
  <c r="AN62" i="3"/>
  <c r="W62" i="3"/>
  <c r="AK62" i="3"/>
  <c r="O62" i="3"/>
  <c r="AJ62" i="3"/>
  <c r="N62" i="3"/>
  <c r="AI62" i="3"/>
  <c r="M62" i="3"/>
  <c r="BD62" i="3"/>
  <c r="AH62" i="3"/>
  <c r="I62" i="3"/>
  <c r="BA62" i="3"/>
  <c r="AE62" i="3"/>
  <c r="AX62" i="3"/>
  <c r="V62" i="3"/>
  <c r="AU62" i="3"/>
  <c r="S62" i="3"/>
  <c r="AD62" i="3"/>
  <c r="AA62" i="3"/>
  <c r="U62" i="3"/>
  <c r="T62" i="3"/>
  <c r="BC62" i="3"/>
  <c r="Q62" i="3"/>
  <c r="H77" i="3"/>
  <c r="M24" i="3"/>
  <c r="AE24" i="3"/>
  <c r="N29" i="3"/>
  <c r="AF29" i="3"/>
  <c r="AX29" i="3"/>
  <c r="X32" i="3"/>
  <c r="AP32" i="3"/>
  <c r="AO39" i="3"/>
  <c r="Y39" i="3"/>
  <c r="I39" i="3"/>
  <c r="BB39" i="3"/>
  <c r="AL39" i="3"/>
  <c r="V39" i="3"/>
  <c r="AQ39" i="3"/>
  <c r="X39" i="3"/>
  <c r="W39" i="3"/>
  <c r="AR39" i="3"/>
  <c r="AW40" i="3"/>
  <c r="AG40" i="3"/>
  <c r="Q40" i="3"/>
  <c r="AT40" i="3"/>
  <c r="AD40" i="3"/>
  <c r="N40" i="3"/>
  <c r="AN40" i="3"/>
  <c r="V40" i="3"/>
  <c r="X40" i="3"/>
  <c r="AQ40" i="3"/>
  <c r="AO41" i="3"/>
  <c r="Y41" i="3"/>
  <c r="I41" i="3"/>
  <c r="BB41" i="3"/>
  <c r="AL41" i="3"/>
  <c r="V41" i="3"/>
  <c r="BD41" i="3"/>
  <c r="AK41" i="3"/>
  <c r="S41" i="3"/>
  <c r="X41" i="3"/>
  <c r="AR41" i="3"/>
  <c r="Y42" i="3"/>
  <c r="AR42" i="3"/>
  <c r="T45" i="3"/>
  <c r="AO45" i="3"/>
  <c r="AE46" i="3"/>
  <c r="AZ46" i="3"/>
  <c r="P47" i="3"/>
  <c r="AP47" i="3"/>
  <c r="J53" i="3"/>
  <c r="AY53" i="3"/>
  <c r="AX57" i="3"/>
  <c r="AH57" i="3"/>
  <c r="R57" i="3"/>
  <c r="BC57" i="3"/>
  <c r="AL57" i="3"/>
  <c r="U57" i="3"/>
  <c r="BB57" i="3"/>
  <c r="AK57" i="3"/>
  <c r="T57" i="3"/>
  <c r="AZ57" i="3"/>
  <c r="AI57" i="3"/>
  <c r="Q57" i="3"/>
  <c r="AY57" i="3"/>
  <c r="AG57" i="3"/>
  <c r="P57" i="3"/>
  <c r="AW57" i="3"/>
  <c r="AF57" i="3"/>
  <c r="O57" i="3"/>
  <c r="AJ57" i="3"/>
  <c r="J57" i="3"/>
  <c r="AE57" i="3"/>
  <c r="I57" i="3"/>
  <c r="AD57" i="3"/>
  <c r="H57" i="3"/>
  <c r="AC57" i="3"/>
  <c r="G57" i="3"/>
  <c r="AV57" i="3"/>
  <c r="Z57" i="3"/>
  <c r="AS57" i="3"/>
  <c r="W57" i="3"/>
  <c r="S57" i="3"/>
  <c r="BD57" i="3"/>
  <c r="N57" i="3"/>
  <c r="BA57" i="3"/>
  <c r="M57" i="3"/>
  <c r="AR57" i="3"/>
  <c r="N61" i="3"/>
  <c r="BD66" i="3"/>
  <c r="AN66" i="3"/>
  <c r="X66" i="3"/>
  <c r="H66" i="3"/>
  <c r="BC66" i="3"/>
  <c r="AM66" i="3"/>
  <c r="W66" i="3"/>
  <c r="G66" i="3"/>
  <c r="BA66" i="3"/>
  <c r="AS66" i="3"/>
  <c r="AA66" i="3"/>
  <c r="I66" i="3"/>
  <c r="AR66" i="3"/>
  <c r="Y66" i="3"/>
  <c r="AQ66" i="3"/>
  <c r="V66" i="3"/>
  <c r="AP66" i="3"/>
  <c r="U66" i="3"/>
  <c r="AO66" i="3"/>
  <c r="T66" i="3"/>
  <c r="AL66" i="3"/>
  <c r="S66" i="3"/>
  <c r="AK66" i="3"/>
  <c r="R66" i="3"/>
  <c r="AE66" i="3"/>
  <c r="AD66" i="3"/>
  <c r="AC66" i="3"/>
  <c r="BB66" i="3"/>
  <c r="AB66" i="3"/>
  <c r="AY66" i="3"/>
  <c r="Q66" i="3"/>
  <c r="AX66" i="3"/>
  <c r="P66" i="3"/>
  <c r="AU66" i="3"/>
  <c r="M66" i="3"/>
  <c r="AI66" i="3"/>
  <c r="J66" i="3"/>
  <c r="AH66" i="3"/>
  <c r="AG66" i="3"/>
  <c r="AF66" i="3"/>
  <c r="Z66" i="3"/>
  <c r="N66" i="3"/>
  <c r="V77" i="3"/>
  <c r="P17" i="3"/>
  <c r="AG17" i="3"/>
  <c r="AX17" i="3"/>
  <c r="W19" i="3"/>
  <c r="AN19" i="3"/>
  <c r="AV24" i="3"/>
  <c r="Q17" i="3"/>
  <c r="AH17" i="3"/>
  <c r="AY17" i="3"/>
  <c r="G19" i="3"/>
  <c r="X19" i="3"/>
  <c r="AO19" i="3"/>
  <c r="O24" i="3"/>
  <c r="AF24" i="3"/>
  <c r="AW24" i="3"/>
  <c r="O29" i="3"/>
  <c r="AG29" i="3"/>
  <c r="AY29" i="3"/>
  <c r="G32" i="3"/>
  <c r="Y32" i="3"/>
  <c r="AQ32" i="3"/>
  <c r="BB33" i="3"/>
  <c r="AL33" i="3"/>
  <c r="V33" i="3"/>
  <c r="AO33" i="3"/>
  <c r="X33" i="3"/>
  <c r="G33" i="3"/>
  <c r="W33" i="3"/>
  <c r="AP33" i="3"/>
  <c r="AW38" i="3"/>
  <c r="AG38" i="3"/>
  <c r="Q38" i="3"/>
  <c r="AT38" i="3"/>
  <c r="AD38" i="3"/>
  <c r="N38" i="3"/>
  <c r="AR38" i="3"/>
  <c r="Z38" i="3"/>
  <c r="H38" i="3"/>
  <c r="X38" i="3"/>
  <c r="AQ38" i="3"/>
  <c r="Z39" i="3"/>
  <c r="AS39" i="3"/>
  <c r="Y40" i="3"/>
  <c r="AR40" i="3"/>
  <c r="Z41" i="3"/>
  <c r="AS41" i="3"/>
  <c r="G42" i="3"/>
  <c r="Z42" i="3"/>
  <c r="AS42" i="3"/>
  <c r="U45" i="3"/>
  <c r="AQ45" i="3"/>
  <c r="H46" i="3"/>
  <c r="AF46" i="3"/>
  <c r="BA46" i="3"/>
  <c r="Q47" i="3"/>
  <c r="AQ47" i="3"/>
  <c r="AW49" i="3"/>
  <c r="AC49" i="3"/>
  <c r="J49" i="3"/>
  <c r="AU49" i="3"/>
  <c r="AA49" i="3"/>
  <c r="H49" i="3"/>
  <c r="AS49" i="3"/>
  <c r="V49" i="3"/>
  <c r="AR49" i="3"/>
  <c r="U49" i="3"/>
  <c r="AM49" i="3"/>
  <c r="O49" i="3"/>
  <c r="AJ49" i="3"/>
  <c r="K53" i="3"/>
  <c r="AZ53" i="3"/>
  <c r="Q61" i="3"/>
  <c r="P62" i="3"/>
  <c r="AV65" i="3"/>
  <c r="AF65" i="3"/>
  <c r="P65" i="3"/>
  <c r="AU65" i="3"/>
  <c r="AE65" i="3"/>
  <c r="O65" i="3"/>
  <c r="AS65" i="3"/>
  <c r="AA65" i="3"/>
  <c r="I65" i="3"/>
  <c r="AO65" i="3"/>
  <c r="V65" i="3"/>
  <c r="AN65" i="3"/>
  <c r="U65" i="3"/>
  <c r="AM65" i="3"/>
  <c r="T65" i="3"/>
  <c r="AL65" i="3"/>
  <c r="S65" i="3"/>
  <c r="BD65" i="3"/>
  <c r="AK65" i="3"/>
  <c r="R65" i="3"/>
  <c r="BC65" i="3"/>
  <c r="AJ65" i="3"/>
  <c r="Q65" i="3"/>
  <c r="AD65" i="3"/>
  <c r="AC65" i="3"/>
  <c r="AB65" i="3"/>
  <c r="BB65" i="3"/>
  <c r="Z65" i="3"/>
  <c r="AZ65" i="3"/>
  <c r="X65" i="3"/>
  <c r="AY65" i="3"/>
  <c r="W65" i="3"/>
  <c r="AT65" i="3"/>
  <c r="L65" i="3"/>
  <c r="AP65" i="3"/>
  <c r="H65" i="3"/>
  <c r="AW65" i="3"/>
  <c r="AR65" i="3"/>
  <c r="AQ65" i="3"/>
  <c r="AI65" i="3"/>
  <c r="AG65" i="3"/>
  <c r="BB27" i="3"/>
  <c r="AL27" i="3"/>
  <c r="V27" i="3"/>
  <c r="U27" i="3"/>
  <c r="AM27" i="3"/>
  <c r="BD27" i="3"/>
  <c r="AQ50" i="3"/>
  <c r="AA50" i="3"/>
  <c r="K50" i="3"/>
  <c r="AP50" i="3"/>
  <c r="Z50" i="3"/>
  <c r="J50" i="3"/>
  <c r="BB50" i="3"/>
  <c r="AL50" i="3"/>
  <c r="V50" i="3"/>
  <c r="AY50" i="3"/>
  <c r="AF50" i="3"/>
  <c r="M50" i="3"/>
  <c r="AW50" i="3"/>
  <c r="AD50" i="3"/>
  <c r="I50" i="3"/>
  <c r="AT50" i="3"/>
  <c r="Y50" i="3"/>
  <c r="AC50" i="3"/>
  <c r="BA50" i="3"/>
  <c r="AP54" i="3"/>
  <c r="Z54" i="3"/>
  <c r="J54" i="3"/>
  <c r="BB54" i="3"/>
  <c r="AK54" i="3"/>
  <c r="T54" i="3"/>
  <c r="BA54" i="3"/>
  <c r="AJ54" i="3"/>
  <c r="S54" i="3"/>
  <c r="AY54" i="3"/>
  <c r="AH54" i="3"/>
  <c r="Q54" i="3"/>
  <c r="AX54" i="3"/>
  <c r="AG54" i="3"/>
  <c r="P54" i="3"/>
  <c r="AW54" i="3"/>
  <c r="AF54" i="3"/>
  <c r="O54" i="3"/>
  <c r="AN54" i="3"/>
  <c r="M54" i="3"/>
  <c r="AM54" i="3"/>
  <c r="L54" i="3"/>
  <c r="AL54" i="3"/>
  <c r="K54" i="3"/>
  <c r="AD54" i="3"/>
  <c r="G54" i="3"/>
  <c r="AZ54" i="3"/>
  <c r="AA54" i="3"/>
  <c r="AQ54" i="3"/>
  <c r="AV85" i="3"/>
  <c r="AF85" i="3"/>
  <c r="P85" i="3"/>
  <c r="AU85" i="3"/>
  <c r="AE85" i="3"/>
  <c r="O85" i="3"/>
  <c r="AT85" i="3"/>
  <c r="AD85" i="3"/>
  <c r="N85" i="3"/>
  <c r="AS85" i="3"/>
  <c r="AC85" i="3"/>
  <c r="M85" i="3"/>
  <c r="AR85" i="3"/>
  <c r="AB85" i="3"/>
  <c r="L85" i="3"/>
  <c r="AP85" i="3"/>
  <c r="Z85" i="3"/>
  <c r="J85" i="3"/>
  <c r="AZ85" i="3"/>
  <c r="X85" i="3"/>
  <c r="AX85" i="3"/>
  <c r="V85" i="3"/>
  <c r="AW85" i="3"/>
  <c r="U85" i="3"/>
  <c r="AQ85" i="3"/>
  <c r="T85" i="3"/>
  <c r="AO85" i="3"/>
  <c r="S85" i="3"/>
  <c r="AN85" i="3"/>
  <c r="R85" i="3"/>
  <c r="W85" i="3"/>
  <c r="Q85" i="3"/>
  <c r="BD85" i="3"/>
  <c r="K85" i="3"/>
  <c r="BC85" i="3"/>
  <c r="I85" i="3"/>
  <c r="BB85" i="3"/>
  <c r="H85" i="3"/>
  <c r="BA85" i="3"/>
  <c r="G85" i="3"/>
  <c r="AY85" i="3"/>
  <c r="AK85" i="3"/>
  <c r="AM85" i="3"/>
  <c r="AL85" i="3"/>
  <c r="AJ85" i="3"/>
  <c r="AI85" i="3"/>
  <c r="AH85" i="3"/>
  <c r="AG85" i="3"/>
  <c r="Y85" i="3"/>
  <c r="AA85" i="3"/>
  <c r="N50" i="3"/>
  <c r="AJ50" i="3"/>
  <c r="R54" i="3"/>
  <c r="AV54" i="3"/>
  <c r="AX61" i="3"/>
  <c r="AH61" i="3"/>
  <c r="R61" i="3"/>
  <c r="AY61" i="3"/>
  <c r="AG61" i="3"/>
  <c r="P61" i="3"/>
  <c r="AW61" i="3"/>
  <c r="AF61" i="3"/>
  <c r="O61" i="3"/>
  <c r="AU61" i="3"/>
  <c r="AD61" i="3"/>
  <c r="M61" i="3"/>
  <c r="AT61" i="3"/>
  <c r="AC61" i="3"/>
  <c r="L61" i="3"/>
  <c r="AS61" i="3"/>
  <c r="AB61" i="3"/>
  <c r="K61" i="3"/>
  <c r="AR61" i="3"/>
  <c r="V61" i="3"/>
  <c r="AQ61" i="3"/>
  <c r="U61" i="3"/>
  <c r="AP61" i="3"/>
  <c r="T61" i="3"/>
  <c r="AO61" i="3"/>
  <c r="S61" i="3"/>
  <c r="AL61" i="3"/>
  <c r="J61" i="3"/>
  <c r="AI61" i="3"/>
  <c r="G61" i="3"/>
  <c r="BB61" i="3"/>
  <c r="Z61" i="3"/>
  <c r="AZ61" i="3"/>
  <c r="BD64" i="3"/>
  <c r="AN64" i="3"/>
  <c r="X64" i="3"/>
  <c r="BC64" i="3"/>
  <c r="AM64" i="3"/>
  <c r="W64" i="3"/>
  <c r="G64" i="3"/>
  <c r="AU64" i="3"/>
  <c r="AC64" i="3"/>
  <c r="K64" i="3"/>
  <c r="AL64" i="3"/>
  <c r="S64" i="3"/>
  <c r="AK64" i="3"/>
  <c r="R64" i="3"/>
  <c r="AJ64" i="3"/>
  <c r="Q64" i="3"/>
  <c r="BB64" i="3"/>
  <c r="AI64" i="3"/>
  <c r="P64" i="3"/>
  <c r="BA64" i="3"/>
  <c r="AH64" i="3"/>
  <c r="O64" i="3"/>
  <c r="AZ64" i="3"/>
  <c r="AG64" i="3"/>
  <c r="N64" i="3"/>
  <c r="AD64" i="3"/>
  <c r="AB64" i="3"/>
  <c r="AA64" i="3"/>
  <c r="Z64" i="3"/>
  <c r="AX64" i="3"/>
  <c r="V64" i="3"/>
  <c r="AW64" i="3"/>
  <c r="U64" i="3"/>
  <c r="AS64" i="3"/>
  <c r="L64" i="3"/>
  <c r="AP64" i="3"/>
  <c r="H64" i="3"/>
  <c r="T55" i="3"/>
  <c r="AP55" i="3"/>
  <c r="N60" i="3"/>
  <c r="AO60" i="3"/>
  <c r="AY49" i="3"/>
  <c r="AI49" i="3"/>
  <c r="S49" i="3"/>
  <c r="AX49" i="3"/>
  <c r="AH49" i="3"/>
  <c r="R49" i="3"/>
  <c r="AT49" i="3"/>
  <c r="AD49" i="3"/>
  <c r="N49" i="3"/>
  <c r="X49" i="3"/>
  <c r="AQ49" i="3"/>
  <c r="S53" i="3"/>
  <c r="AR53" i="3"/>
  <c r="W55" i="3"/>
  <c r="AY55" i="3"/>
  <c r="T60" i="3"/>
  <c r="AS60" i="3"/>
  <c r="AP70" i="3"/>
  <c r="AV73" i="3"/>
  <c r="AF73" i="3"/>
  <c r="P73" i="3"/>
  <c r="AU73" i="3"/>
  <c r="AE73" i="3"/>
  <c r="O73" i="3"/>
  <c r="AS73" i="3"/>
  <c r="AC73" i="3"/>
  <c r="M73" i="3"/>
  <c r="AR73" i="3"/>
  <c r="AB73" i="3"/>
  <c r="L73" i="3"/>
  <c r="AP73" i="3"/>
  <c r="Z73" i="3"/>
  <c r="J73" i="3"/>
  <c r="AQ73" i="3"/>
  <c r="AN73" i="3"/>
  <c r="S73" i="3"/>
  <c r="AM73" i="3"/>
  <c r="AL73" i="3"/>
  <c r="Q73" i="3"/>
  <c r="AJ73" i="3"/>
  <c r="K73" i="3"/>
  <c r="AX73" i="3"/>
  <c r="R73" i="3"/>
  <c r="AW73" i="3"/>
  <c r="N73" i="3"/>
  <c r="AT73" i="3"/>
  <c r="I73" i="3"/>
  <c r="AO73" i="3"/>
  <c r="H73" i="3"/>
  <c r="AK73" i="3"/>
  <c r="G73" i="3"/>
  <c r="AI73" i="3"/>
  <c r="BC73" i="3"/>
  <c r="AZ78" i="3"/>
  <c r="AJ78" i="3"/>
  <c r="T78" i="3"/>
  <c r="AX78" i="3"/>
  <c r="AH78" i="3"/>
  <c r="R78" i="3"/>
  <c r="BB78" i="3"/>
  <c r="AD78" i="3"/>
  <c r="I78" i="3"/>
  <c r="AW78" i="3"/>
  <c r="AB78" i="3"/>
  <c r="AV78" i="3"/>
  <c r="AA78" i="3"/>
  <c r="AU78" i="3"/>
  <c r="Z78" i="3"/>
  <c r="AS78" i="3"/>
  <c r="V78" i="3"/>
  <c r="AG78" i="3"/>
  <c r="AF78" i="3"/>
  <c r="AE78" i="3"/>
  <c r="AC78" i="3"/>
  <c r="Y78" i="3"/>
  <c r="S78" i="3"/>
  <c r="Q78" i="3"/>
  <c r="AT78" i="3"/>
  <c r="N78" i="3"/>
  <c r="Z53" i="3"/>
  <c r="AC55" i="3"/>
  <c r="Y60" i="3"/>
  <c r="AV60" i="3"/>
  <c r="U73" i="3"/>
  <c r="L78" i="3"/>
  <c r="AX55" i="3"/>
  <c r="AH55" i="3"/>
  <c r="R55" i="3"/>
  <c r="AV55" i="3"/>
  <c r="AE55" i="3"/>
  <c r="N55" i="3"/>
  <c r="AU55" i="3"/>
  <c r="AD55" i="3"/>
  <c r="M55" i="3"/>
  <c r="AS55" i="3"/>
  <c r="AB55" i="3"/>
  <c r="K55" i="3"/>
  <c r="AR55" i="3"/>
  <c r="AA55" i="3"/>
  <c r="J55" i="3"/>
  <c r="AQ55" i="3"/>
  <c r="Z55" i="3"/>
  <c r="I55" i="3"/>
  <c r="AF55" i="3"/>
  <c r="BC55" i="3"/>
  <c r="AA60" i="3"/>
  <c r="AW60" i="3"/>
  <c r="AX53" i="3"/>
  <c r="AH53" i="3"/>
  <c r="R53" i="3"/>
  <c r="AP53" i="3"/>
  <c r="Y53" i="3"/>
  <c r="H53" i="3"/>
  <c r="AO53" i="3"/>
  <c r="X53" i="3"/>
  <c r="G53" i="3"/>
  <c r="BC53" i="3"/>
  <c r="AL53" i="3"/>
  <c r="U53" i="3"/>
  <c r="BB53" i="3"/>
  <c r="AK53" i="3"/>
  <c r="T53" i="3"/>
  <c r="AB53" i="3"/>
  <c r="AW53" i="3"/>
  <c r="AG55" i="3"/>
  <c r="BD55" i="3"/>
  <c r="AB60" i="3"/>
  <c r="AO70" i="3"/>
  <c r="S70" i="3"/>
  <c r="AJ70" i="3"/>
  <c r="BB70" i="3"/>
  <c r="AH70" i="3"/>
  <c r="O70" i="3"/>
  <c r="AL70" i="3"/>
  <c r="N70" i="3"/>
  <c r="AI70" i="3"/>
  <c r="M70" i="3"/>
  <c r="AG70" i="3"/>
  <c r="L70" i="3"/>
  <c r="AF70" i="3"/>
  <c r="K70" i="3"/>
  <c r="AE70" i="3"/>
  <c r="J70" i="3"/>
  <c r="AZ70" i="3"/>
  <c r="AD70" i="3"/>
  <c r="I70" i="3"/>
  <c r="AU70" i="3"/>
  <c r="W73" i="3"/>
  <c r="O78" i="3"/>
  <c r="BC60" i="3"/>
  <c r="AL60" i="3"/>
  <c r="U60" i="3"/>
  <c r="BA60" i="3"/>
  <c r="AJ60" i="3"/>
  <c r="S60" i="3"/>
  <c r="AZ60" i="3"/>
  <c r="AI60" i="3"/>
  <c r="R60" i="3"/>
  <c r="AY60" i="3"/>
  <c r="AH60" i="3"/>
  <c r="Q60" i="3"/>
  <c r="AC60" i="3"/>
  <c r="BB60" i="3"/>
  <c r="BB68" i="3"/>
  <c r="AH68" i="3"/>
  <c r="O68" i="3"/>
  <c r="AW68" i="3"/>
  <c r="AD68" i="3"/>
  <c r="K68" i="3"/>
  <c r="AO68" i="3"/>
  <c r="Q68" i="3"/>
  <c r="AL68" i="3"/>
  <c r="P68" i="3"/>
  <c r="AJ68" i="3"/>
  <c r="N68" i="3"/>
  <c r="AI68" i="3"/>
  <c r="M68" i="3"/>
  <c r="AG68" i="3"/>
  <c r="L68" i="3"/>
  <c r="AF68" i="3"/>
  <c r="J68" i="3"/>
  <c r="AT68" i="3"/>
  <c r="P70" i="3"/>
  <c r="AV70" i="3"/>
  <c r="X73" i="3"/>
  <c r="P78" i="3"/>
  <c r="AV75" i="3"/>
  <c r="AF75" i="3"/>
  <c r="P75" i="3"/>
  <c r="AU75" i="3"/>
  <c r="AE75" i="3"/>
  <c r="O75" i="3"/>
  <c r="AS75" i="3"/>
  <c r="AC75" i="3"/>
  <c r="M75" i="3"/>
  <c r="AR75" i="3"/>
  <c r="AB75" i="3"/>
  <c r="L75" i="3"/>
  <c r="AP75" i="3"/>
  <c r="Z75" i="3"/>
  <c r="J75" i="3"/>
  <c r="AQ75" i="3"/>
  <c r="U75" i="3"/>
  <c r="AN75" i="3"/>
  <c r="S75" i="3"/>
  <c r="AM75" i="3"/>
  <c r="R75" i="3"/>
  <c r="AL75" i="3"/>
  <c r="Q75" i="3"/>
  <c r="AJ75" i="3"/>
  <c r="K75" i="3"/>
  <c r="AK75" i="3"/>
  <c r="AZ76" i="3"/>
  <c r="AJ76" i="3"/>
  <c r="T76" i="3"/>
  <c r="AX76" i="3"/>
  <c r="AH76" i="3"/>
  <c r="R76" i="3"/>
  <c r="BB76" i="3"/>
  <c r="AD76" i="3"/>
  <c r="I76" i="3"/>
  <c r="AW76" i="3"/>
  <c r="AB76" i="3"/>
  <c r="AV76" i="3"/>
  <c r="AA76" i="3"/>
  <c r="AU76" i="3"/>
  <c r="Z76" i="3"/>
  <c r="AS76" i="3"/>
  <c r="V76" i="3"/>
  <c r="AL76" i="3"/>
  <c r="U56" i="3"/>
  <c r="AL56" i="3"/>
  <c r="AX59" i="3"/>
  <c r="AH59" i="3"/>
  <c r="R59" i="3"/>
  <c r="V59" i="3"/>
  <c r="AM59" i="3"/>
  <c r="BD59" i="3"/>
  <c r="W67" i="3"/>
  <c r="AQ67" i="3"/>
  <c r="I75" i="3"/>
  <c r="AX75" i="3"/>
  <c r="M76" i="3"/>
  <c r="AR76" i="3"/>
  <c r="AV83" i="3"/>
  <c r="AF83" i="3"/>
  <c r="P83" i="3"/>
  <c r="AU83" i="3"/>
  <c r="AE83" i="3"/>
  <c r="O83" i="3"/>
  <c r="AT83" i="3"/>
  <c r="AD83" i="3"/>
  <c r="N83" i="3"/>
  <c r="AS83" i="3"/>
  <c r="AC83" i="3"/>
  <c r="M83" i="3"/>
  <c r="AR83" i="3"/>
  <c r="AB83" i="3"/>
  <c r="L83" i="3"/>
  <c r="AP83" i="3"/>
  <c r="Z83" i="3"/>
  <c r="J83" i="3"/>
  <c r="AN83" i="3"/>
  <c r="R83" i="3"/>
  <c r="AL83" i="3"/>
  <c r="K83" i="3"/>
  <c r="AK83" i="3"/>
  <c r="I83" i="3"/>
  <c r="AJ83" i="3"/>
  <c r="H83" i="3"/>
  <c r="AI83" i="3"/>
  <c r="G83" i="3"/>
  <c r="BD83" i="3"/>
  <c r="AH83" i="3"/>
  <c r="AX83" i="3"/>
  <c r="AP56" i="3"/>
  <c r="Z56" i="3"/>
  <c r="J56" i="3"/>
  <c r="V56" i="3"/>
  <c r="AM56" i="3"/>
  <c r="BD56" i="3"/>
  <c r="W59" i="3"/>
  <c r="AN59" i="3"/>
  <c r="X67" i="3"/>
  <c r="AZ74" i="3"/>
  <c r="AJ74" i="3"/>
  <c r="T74" i="3"/>
  <c r="AX74" i="3"/>
  <c r="AH74" i="3"/>
  <c r="R74" i="3"/>
  <c r="BB74" i="3"/>
  <c r="AD74" i="3"/>
  <c r="I74" i="3"/>
  <c r="AW74" i="3"/>
  <c r="AB74" i="3"/>
  <c r="AV74" i="3"/>
  <c r="AA74" i="3"/>
  <c r="AU74" i="3"/>
  <c r="Z74" i="3"/>
  <c r="AS74" i="3"/>
  <c r="V74" i="3"/>
  <c r="AL74" i="3"/>
  <c r="N75" i="3"/>
  <c r="AY75" i="3"/>
  <c r="N76" i="3"/>
  <c r="AT76" i="3"/>
  <c r="W56" i="3"/>
  <c r="X59" i="3"/>
  <c r="AV67" i="3"/>
  <c r="AF67" i="3"/>
  <c r="P67" i="3"/>
  <c r="AU67" i="3"/>
  <c r="AE67" i="3"/>
  <c r="O67" i="3"/>
  <c r="AS67" i="3"/>
  <c r="AC67" i="3"/>
  <c r="M67" i="3"/>
  <c r="BA67" i="3"/>
  <c r="AW67" i="3"/>
  <c r="AA67" i="3"/>
  <c r="H67" i="3"/>
  <c r="Y67" i="3"/>
  <c r="AT67" i="3"/>
  <c r="X69" i="3"/>
  <c r="J74" i="3"/>
  <c r="AO74" i="3"/>
  <c r="T75" i="3"/>
  <c r="AZ75" i="3"/>
  <c r="O76" i="3"/>
  <c r="AY76" i="3"/>
  <c r="AV79" i="3"/>
  <c r="AF79" i="3"/>
  <c r="P79" i="3"/>
  <c r="AU79" i="3"/>
  <c r="AE79" i="3"/>
  <c r="O79" i="3"/>
  <c r="AT79" i="3"/>
  <c r="AD79" i="3"/>
  <c r="N79" i="3"/>
  <c r="AS79" i="3"/>
  <c r="AC79" i="3"/>
  <c r="M79" i="3"/>
  <c r="AR79" i="3"/>
  <c r="AB79" i="3"/>
  <c r="L79" i="3"/>
  <c r="AP79" i="3"/>
  <c r="Z79" i="3"/>
  <c r="J79" i="3"/>
  <c r="AX79" i="3"/>
  <c r="V79" i="3"/>
  <c r="AQ79" i="3"/>
  <c r="T79" i="3"/>
  <c r="AO79" i="3"/>
  <c r="S79" i="3"/>
  <c r="AN79" i="3"/>
  <c r="R79" i="3"/>
  <c r="AL79" i="3"/>
  <c r="K79" i="3"/>
  <c r="AM79" i="3"/>
  <c r="AV81" i="3"/>
  <c r="AF81" i="3"/>
  <c r="P81" i="3"/>
  <c r="AU81" i="3"/>
  <c r="AE81" i="3"/>
  <c r="O81" i="3"/>
  <c r="AT81" i="3"/>
  <c r="AD81" i="3"/>
  <c r="N81" i="3"/>
  <c r="AS81" i="3"/>
  <c r="AC81" i="3"/>
  <c r="M81" i="3"/>
  <c r="AR81" i="3"/>
  <c r="AB81" i="3"/>
  <c r="L81" i="3"/>
  <c r="AP81" i="3"/>
  <c r="Z81" i="3"/>
  <c r="J81" i="3"/>
  <c r="BD81" i="3"/>
  <c r="AH81" i="3"/>
  <c r="BB81" i="3"/>
  <c r="AA81" i="3"/>
  <c r="BA81" i="3"/>
  <c r="Y81" i="3"/>
  <c r="AZ81" i="3"/>
  <c r="X81" i="3"/>
  <c r="AY81" i="3"/>
  <c r="W81" i="3"/>
  <c r="AX81" i="3"/>
  <c r="V81" i="3"/>
  <c r="AM81" i="3"/>
  <c r="Q83" i="3"/>
  <c r="AZ83" i="3"/>
  <c r="Z67" i="3"/>
  <c r="K74" i="3"/>
  <c r="AP74" i="3"/>
  <c r="V75" i="3"/>
  <c r="BA75" i="3"/>
  <c r="P76" i="3"/>
  <c r="AW79" i="3"/>
  <c r="S83" i="3"/>
  <c r="BA83" i="3"/>
  <c r="H56" i="3"/>
  <c r="Y56" i="3"/>
  <c r="AQ56" i="3"/>
  <c r="I59" i="3"/>
  <c r="Z59" i="3"/>
  <c r="AQ59" i="3"/>
  <c r="AX63" i="3"/>
  <c r="AH63" i="3"/>
  <c r="R63" i="3"/>
  <c r="V63" i="3"/>
  <c r="AM63" i="3"/>
  <c r="BD63" i="3"/>
  <c r="G67" i="3"/>
  <c r="AB67" i="3"/>
  <c r="AY67" i="3"/>
  <c r="AV69" i="3"/>
  <c r="AF69" i="3"/>
  <c r="P69" i="3"/>
  <c r="AU69" i="3"/>
  <c r="AE69" i="3"/>
  <c r="O69" i="3"/>
  <c r="AS69" i="3"/>
  <c r="AC69" i="3"/>
  <c r="M69" i="3"/>
  <c r="AL69" i="3"/>
  <c r="S69" i="3"/>
  <c r="BA69" i="3"/>
  <c r="AH69" i="3"/>
  <c r="L69" i="3"/>
  <c r="Z69" i="3"/>
  <c r="AX69" i="3"/>
  <c r="L74" i="3"/>
  <c r="AQ74" i="3"/>
  <c r="W75" i="3"/>
  <c r="BB75" i="3"/>
  <c r="Q76" i="3"/>
  <c r="G79" i="3"/>
  <c r="T83" i="3"/>
  <c r="BB83" i="3"/>
  <c r="I56" i="3"/>
  <c r="AA56" i="3"/>
  <c r="AR56" i="3"/>
  <c r="J59" i="3"/>
  <c r="AA59" i="3"/>
  <c r="AR59" i="3"/>
  <c r="AP60" i="3"/>
  <c r="Z60" i="3"/>
  <c r="J60" i="3"/>
  <c r="V60" i="3"/>
  <c r="AM60" i="3"/>
  <c r="BD60" i="3"/>
  <c r="W63" i="3"/>
  <c r="AN63" i="3"/>
  <c r="I67" i="3"/>
  <c r="AD67" i="3"/>
  <c r="AZ67" i="3"/>
  <c r="AA69" i="3"/>
  <c r="AY69" i="3"/>
  <c r="AV71" i="3"/>
  <c r="AF71" i="3"/>
  <c r="P71" i="3"/>
  <c r="AU71" i="3"/>
  <c r="AE71" i="3"/>
  <c r="O71" i="3"/>
  <c r="AS71" i="3"/>
  <c r="AC71" i="3"/>
  <c r="M71" i="3"/>
  <c r="AP71" i="3"/>
  <c r="W71" i="3"/>
  <c r="AN71" i="3"/>
  <c r="U71" i="3"/>
  <c r="AL71" i="3"/>
  <c r="S71" i="3"/>
  <c r="AA71" i="3"/>
  <c r="AZ71" i="3"/>
  <c r="M74" i="3"/>
  <c r="AR74" i="3"/>
  <c r="X75" i="3"/>
  <c r="BC75" i="3"/>
  <c r="S76" i="3"/>
  <c r="H79" i="3"/>
  <c r="AZ79" i="3"/>
  <c r="H81" i="3"/>
  <c r="AQ81" i="3"/>
  <c r="U83" i="3"/>
  <c r="BC83" i="3"/>
  <c r="X87" i="3"/>
  <c r="AZ87" i="3"/>
  <c r="AA87" i="3"/>
  <c r="AV87" i="3"/>
  <c r="AF87" i="3"/>
  <c r="P87" i="3"/>
  <c r="AU87" i="3"/>
  <c r="AE87" i="3"/>
  <c r="O87" i="3"/>
  <c r="AT87" i="3"/>
  <c r="AD87" i="3"/>
  <c r="N87" i="3"/>
  <c r="AS87" i="3"/>
  <c r="AC87" i="3"/>
  <c r="M87" i="3"/>
  <c r="AR87" i="3"/>
  <c r="AB87" i="3"/>
  <c r="L87" i="3"/>
  <c r="AP87" i="3"/>
  <c r="Z87" i="3"/>
  <c r="J87" i="3"/>
  <c r="AG87" i="3"/>
  <c r="BC87" i="3"/>
  <c r="BD72" i="3"/>
  <c r="BD74" i="3"/>
  <c r="BD76" i="3"/>
  <c r="BD78" i="3"/>
  <c r="AH87" i="3"/>
  <c r="BD87" i="3"/>
  <c r="H87" i="3"/>
  <c r="AJ87" i="3"/>
  <c r="R80" i="3"/>
  <c r="AH80" i="3"/>
  <c r="AX80" i="3"/>
  <c r="R82" i="3"/>
  <c r="AH82" i="3"/>
  <c r="AX82" i="3"/>
  <c r="R84" i="3"/>
  <c r="AH84" i="3"/>
  <c r="AX84" i="3"/>
  <c r="R86" i="3"/>
  <c r="AH86" i="3"/>
  <c r="AX86" i="3"/>
  <c r="T80" i="3"/>
  <c r="AJ80" i="3"/>
  <c r="AZ80" i="3"/>
  <c r="T82" i="3"/>
  <c r="AJ82" i="3"/>
  <c r="AZ82" i="3"/>
  <c r="T84" i="3"/>
  <c r="AJ84" i="3"/>
  <c r="AZ84" i="3"/>
  <c r="T86" i="3"/>
  <c r="AJ86" i="3"/>
  <c r="AZ86" i="3"/>
  <c r="U68" i="3"/>
  <c r="AK68" i="3"/>
  <c r="BA68" i="3"/>
  <c r="U70" i="3"/>
  <c r="AK70" i="3"/>
  <c r="BA70" i="3"/>
  <c r="U72" i="3"/>
  <c r="AK72" i="3"/>
  <c r="BA72" i="3"/>
  <c r="U74" i="3"/>
  <c r="AK74" i="3"/>
  <c r="BA74" i="3"/>
  <c r="U76" i="3"/>
  <c r="AK76" i="3"/>
  <c r="BA76" i="3"/>
  <c r="U78" i="3"/>
  <c r="AK78" i="3"/>
  <c r="BA78" i="3"/>
  <c r="U80" i="3"/>
  <c r="AK80" i="3"/>
  <c r="BA80" i="3"/>
  <c r="U82" i="3"/>
  <c r="AK82" i="3"/>
  <c r="BA82" i="3"/>
  <c r="U84" i="3"/>
  <c r="AK84" i="3"/>
  <c r="BA84" i="3"/>
  <c r="U86" i="3"/>
  <c r="AK86" i="3"/>
  <c r="BA86" i="3"/>
  <c r="V80" i="3"/>
  <c r="AL80" i="3"/>
  <c r="V82" i="3"/>
  <c r="AL82" i="3"/>
  <c r="V84" i="3"/>
  <c r="AL84" i="3"/>
  <c r="V86" i="3"/>
  <c r="AL86" i="3"/>
  <c r="G68" i="3"/>
  <c r="W68" i="3"/>
  <c r="AM68" i="3"/>
  <c r="BC68" i="3"/>
  <c r="G70" i="3"/>
  <c r="W70" i="3"/>
  <c r="AM70" i="3"/>
  <c r="BC70" i="3"/>
  <c r="G72" i="3"/>
  <c r="W72" i="3"/>
  <c r="AM72" i="3"/>
  <c r="BC72" i="3"/>
  <c r="G74" i="3"/>
  <c r="W74" i="3"/>
  <c r="AM74" i="3"/>
  <c r="BC74" i="3"/>
  <c r="G76" i="3"/>
  <c r="W76" i="3"/>
  <c r="AM76" i="3"/>
  <c r="BC76" i="3"/>
  <c r="G78" i="3"/>
  <c r="W78" i="3"/>
  <c r="AM78" i="3"/>
  <c r="BC78" i="3"/>
  <c r="G80" i="3"/>
  <c r="W80" i="3"/>
  <c r="AM80" i="3"/>
  <c r="BC80" i="3"/>
  <c r="G82" i="3"/>
  <c r="W82" i="3"/>
  <c r="AM82" i="3"/>
  <c r="BC82" i="3"/>
  <c r="G84" i="3"/>
  <c r="W84" i="3"/>
  <c r="AM84" i="3"/>
  <c r="BC84" i="3"/>
  <c r="G86" i="3"/>
  <c r="W86" i="3"/>
  <c r="AM86" i="3"/>
  <c r="BC86" i="3"/>
  <c r="H68" i="3"/>
  <c r="X68" i="3"/>
  <c r="AN68" i="3"/>
  <c r="H70" i="3"/>
  <c r="X70" i="3"/>
  <c r="AN70" i="3"/>
  <c r="H72" i="3"/>
  <c r="X72" i="3"/>
  <c r="AN72" i="3"/>
  <c r="H74" i="3"/>
  <c r="X74" i="3"/>
  <c r="AN74" i="3"/>
  <c r="H76" i="3"/>
  <c r="X76" i="3"/>
  <c r="AN76" i="3"/>
  <c r="H78" i="3"/>
  <c r="X78" i="3"/>
  <c r="AN78" i="3"/>
  <c r="H80" i="3"/>
  <c r="X80" i="3"/>
  <c r="AN80" i="3"/>
  <c r="H82" i="3"/>
  <c r="X82" i="3"/>
  <c r="AN82" i="3"/>
  <c r="H84" i="3"/>
  <c r="X84" i="3"/>
  <c r="AN84" i="3"/>
  <c r="H86" i="3"/>
  <c r="X86" i="3"/>
  <c r="AN86" i="3"/>
</calcChain>
</file>

<file path=xl/sharedStrings.xml><?xml version="1.0" encoding="utf-8"?>
<sst xmlns="http://schemas.openxmlformats.org/spreadsheetml/2006/main" count="1805" uniqueCount="1066">
  <si>
    <t>Production-ready procedure + Lab validation | Không bao gồm thay đổi trực tiếp trên Production</t>
  </si>
  <si>
    <t>TỔNG ĐẦU VIỆC</t>
  </si>
  <si>
    <t>ĐÃ HOÀN THÀNH</t>
  </si>
  <si>
    <t>TIẾN ĐỘ</t>
  </si>
  <si>
    <t>TÀI LIỆU ĐẦU RA</t>
  </si>
  <si>
    <t>CHECKLIST</t>
  </si>
  <si>
    <t>TEST CASE LAB</t>
  </si>
  <si>
    <t>PHẠM VI VÀ GIẢ ĐỊNH KẾ HOẠCH</t>
  </si>
  <si>
    <t>Ngày bắt đầu</t>
  </si>
  <si>
    <t>Ngày kết thúc</t>
  </si>
  <si>
    <t>Thời lượng</t>
  </si>
  <si>
    <t>Hiện trạng</t>
  </si>
  <si>
    <t>Ceph Pacific 16.2.5</t>
  </si>
  <si>
    <t>Target ứng viên</t>
  </si>
  <si>
    <t>Đường ứng viên</t>
  </si>
  <si>
    <t>Pacific 16.2.5 → Pacific 16.2.15 → Quincy 17.2.x → Reef 18.2.7</t>
  </si>
  <si>
    <t>Phạm vi</t>
  </si>
  <si>
    <t>Ngoài phạm vi</t>
  </si>
  <si>
    <t>Thực thi thay đổi trên Production</t>
  </si>
  <si>
    <t>Nguyên tắc</t>
  </si>
  <si>
    <t>Ngưỡng SLA</t>
  </si>
  <si>
    <t>Rollback</t>
  </si>
  <si>
    <t>Ưu tiên pause/fix-forward; backup phục vụ recovery</t>
  </si>
  <si>
    <t>UNKNOWN critical</t>
  </si>
  <si>
    <t>UNKNOWN critical được xử lý như BLOCK</t>
  </si>
  <si>
    <t>LỘ TRÌNH THEO GIAI ĐOẠN</t>
  </si>
  <si>
    <t>Giai đoạn</t>
  </si>
  <si>
    <t>Tuần</t>
  </si>
  <si>
    <t>Mục tiêu</t>
  </si>
  <si>
    <t>Đầu ra chính</t>
  </si>
  <si>
    <t>Gate</t>
  </si>
  <si>
    <t>WBS</t>
  </si>
  <si>
    <t>Công việc</t>
  </si>
  <si>
    <t>Chi tiết thực hiện</t>
  </si>
  <si>
    <t>Phụ thuộc</t>
  </si>
  <si>
    <t>Bắt đầu</t>
  </si>
  <si>
    <t>Kết thúc</t>
  </si>
  <si>
    <t>Đầu ra / Evidence</t>
  </si>
  <si>
    <t>Ưu tiên</t>
  </si>
  <si>
    <t>Trạng thái</t>
  </si>
  <si>
    <t>Ghi chú</t>
  </si>
  <si>
    <t>DANH MỤC TÀI LIỆU ĐẦU RA</t>
  </si>
  <si>
    <t>ID</t>
  </si>
  <si>
    <t>Nhóm</t>
  </si>
  <si>
    <t>Tài liệu</t>
  </si>
  <si>
    <t>Mục đích</t>
  </si>
  <si>
    <t>Áp dụng</t>
  </si>
  <si>
    <t>Tạo bản nháp</t>
  </si>
  <si>
    <t>Xác minh/Cập nhật</t>
  </si>
  <si>
    <t>Bản cuối</t>
  </si>
  <si>
    <t>Tiêu chí hoàn thành</t>
  </si>
  <si>
    <t>DANH MỤC CHECKLIST CẦN TẠO</t>
  </si>
  <si>
    <t>Checklist</t>
  </si>
  <si>
    <t>Thời điểm dùng</t>
  </si>
  <si>
    <t>Mục đích/Nội dung chính</t>
  </si>
  <si>
    <t>Draft</t>
  </si>
  <si>
    <t>Finalize</t>
  </si>
  <si>
    <t>Gate liên quan</t>
  </si>
  <si>
    <t>LAB TEST MATRIX – TỪNG HOP, SOAK, FAULT VÀ FAILURE</t>
  </si>
  <si>
    <t>Test ID</t>
  </si>
  <si>
    <t>Hop/Giai đoạn</t>
  </si>
  <si>
    <t>Loại</t>
  </si>
  <si>
    <t>Kịch bản</t>
  </si>
  <si>
    <t>Workload</t>
  </si>
  <si>
    <t>Điều kiện trước</t>
  </si>
  <si>
    <t>Tiêu chí PASS</t>
  </si>
  <si>
    <t>Evidence</t>
  </si>
  <si>
    <t>KẾ HOẠCH IO WORKLOAD ẢO</t>
  </si>
  <si>
    <t>Profile</t>
  </si>
  <si>
    <t>Dịch vụ</t>
  </si>
  <si>
    <t>Mô tả</t>
  </si>
  <si>
    <t>Kích thước</t>
  </si>
  <si>
    <t>Operation</t>
  </si>
  <si>
    <t>Concurrency/Rate</t>
  </si>
  <si>
    <t>Thời gian chạy</t>
  </si>
  <si>
    <t>Metrics</t>
  </si>
  <si>
    <t>Quy tắc sử dụng</t>
  </si>
  <si>
    <t>GATE VÀ QUY TẮC GO / NO-GO</t>
  </si>
  <si>
    <t>Thời điểm</t>
  </si>
  <si>
    <t>Quyết định</t>
  </si>
  <si>
    <t>Điều kiện bắt buộc</t>
  </si>
  <si>
    <t>Hành động nếu không đạt</t>
  </si>
  <si>
    <t>RISK &amp; MITIGATION REGISTER</t>
  </si>
  <si>
    <t>Likelihood/Impact: 1–5 | Score = Likelihood × Impact | Rating được tính tự động</t>
  </si>
  <si>
    <t>Risk ID</t>
  </si>
  <si>
    <t>Rủi ro</t>
  </si>
  <si>
    <t>Likelihood</t>
  </si>
  <si>
    <t>Impact</t>
  </si>
  <si>
    <t>Score</t>
  </si>
  <si>
    <t>Rating</t>
  </si>
  <si>
    <t>Mitigation/Control</t>
  </si>
  <si>
    <t>Residual risk/Ghi chú</t>
  </si>
  <si>
    <t>KẾ HOẠCH TỔNG THỂ NÂNG CẤP CEPH – 10 TUẦN</t>
  </si>
  <si>
    <t>10 tuần / 50 ngày làm việc</t>
  </si>
  <si>
    <t>Target cuối chốt tại G1; revalidate trước Lab/H1</t>
  </si>
  <si>
    <t>Khảo sát, thiết kế, Lab, rehearsal, báo cáo</t>
  </si>
  <si>
    <t>Mỗi hop có 1 tuần riêng, pre-check, monitoring, exit gate và soak</t>
  </si>
  <si>
    <t>Chốt sau As-Is W1 và baseline W6</t>
  </si>
  <si>
    <t>1. Khảo sát As-Is</t>
  </si>
  <si>
    <t>Tuần 1</t>
  </si>
  <si>
    <t>Thu thập fact, workload và blocker</t>
  </si>
  <si>
    <t>As-Is Checklist + As-Is Report + Blocker Register</t>
  </si>
  <si>
    <t>G0</t>
  </si>
  <si>
    <t>2. Target, Hops &amp; Compatibility</t>
  </si>
  <si>
    <t>Tuần 2–3</t>
  </si>
  <si>
    <t>Chốt target, hop và compatibility theo từng hop</t>
  </si>
  <si>
    <t>Decision Record + Compatibility Matrix H1/H2/H3 + revalidation</t>
  </si>
  <si>
    <t>G1</t>
  </si>
  <si>
    <t>3. Thiết kế Production-ready</t>
  </si>
  <si>
    <t>Tuần 4</t>
  </si>
  <si>
    <t>Hoàn thiện runbook/checklist/backup/rollback/test plan v0.1</t>
  </si>
  <si>
    <t>Bộ tài liệu thiết kế + tiêu chí evidence và gate</t>
  </si>
  <si>
    <t>G2</t>
  </si>
  <si>
    <t>4. Dựng Lab &amp; Baseline</t>
  </si>
  <si>
    <t>Tuần 5–6</t>
  </si>
  <si>
    <t>Dựng Lab tương đồng, automation và baseline</t>
  </si>
  <si>
    <t>Equivalence Matrix + Evidence Collector + IO Sentinel + baseline</t>
  </si>
  <si>
    <t>G3</t>
  </si>
  <si>
    <t>5. Test từng hop</t>
  </si>
  <si>
    <t>Tuần 7–9</t>
  </si>
  <si>
    <t>Mỗi hop một tuần dưới IO liên tục</t>
  </si>
  <si>
    <t>Evidence/KPI/checklist/soak/exit gate H1–H3</t>
  </si>
  <si>
    <t>G4–G9</t>
  </si>
  <si>
    <t>6. Resilience, rehearsal &amp; bàn giao</t>
  </si>
  <si>
    <t>Tuần 10</t>
  </si>
  <si>
    <t>Fault/failure/restore/rehearsal và chốt hồ sơ</t>
  </si>
  <si>
    <t>Traceability + Lab report + Runbook v1.0 + recommendation</t>
  </si>
  <si>
    <t>G10–G11</t>
  </si>
  <si>
    <t>WBS – KẾ HOẠCH CÔNG VIỆC 10 TUẦN</t>
  </si>
  <si>
    <t>Ngày kế hoạch: 2026-08-24 đến 2026-10-30 | Cập nhật cột Trạng thái trong quá trình thực hiện</t>
  </si>
  <si>
    <t>WBS-1.1</t>
  </si>
  <si>
    <t>Khởi động &amp; As-Is</t>
  </si>
  <si>
    <t>W1</t>
  </si>
  <si>
    <t>Kick-off, chốt phạm vi và mục tiêu</t>
  </si>
  <si>
    <t>Xác nhận đầu ra: nghiên cứu, quy trình Production-ready, Lab validation; không triển khai Production.</t>
  </si>
  <si>
    <t>-</t>
  </si>
  <si>
    <t>Biên bản phạm vi</t>
  </si>
  <si>
    <t>Critical</t>
  </si>
  <si>
    <t>Chưa bắt đầu</t>
  </si>
  <si>
    <t>WBS-1.2</t>
  </si>
  <si>
    <t>Chốt tiêu chí nghiệm thu và SLA cần đo</t>
  </si>
  <si>
    <t>Xác định availability, error rate, p95/p99 latency, throughput, data integrity; giá trị ngưỡng chốt sau baseline.</t>
  </si>
  <si>
    <t>1.1</t>
  </si>
  <si>
    <t>Acceptance criteria v0.1</t>
  </si>
  <si>
    <t>WBS-1.3</t>
  </si>
  <si>
    <t>Thiết lập evidence repository, index và yêu cầu Evidence Collector</t>
  </si>
  <si>
    <t>Chuẩn hóa nơi lưu, naming, checksum, timestamp và đặc tả collector cho command/log/KPI.</t>
  </si>
  <si>
    <t>Evidence index + collector specification</t>
  </si>
  <si>
    <t>High</t>
  </si>
  <si>
    <t>WBS-1.4</t>
  </si>
  <si>
    <t>Tạo As-Is Survey Checklist v0.1</t>
  </si>
  <si>
    <t>Biến các trường cần khảo sát thành mục có cách kiểm tra, evidence và PASS/BLOCK/UNKNOWN.</t>
  </si>
  <si>
    <t>As-Is Checklist v0.1</t>
  </si>
  <si>
    <t>WBS-1.5</t>
  </si>
  <si>
    <t>Khảo sát deployment và topology</t>
  </si>
  <si>
    <t>cephadm/package/ceph-ansible; host, MON/MGR/OSD/MDS/RGW/gateway, managed scope.</t>
  </si>
  <si>
    <t>1.4</t>
  </si>
  <si>
    <t>Topology + deployment evidence</t>
  </si>
  <si>
    <t>WBS-1.6</t>
  </si>
  <si>
    <t>Khảo sát version distribution</t>
  </si>
  <si>
    <t>Xác minh version thực tế của từng daemon và phát hiện mixed-version tồn tại.</t>
  </si>
  <si>
    <t>Daemon/version inventory</t>
  </si>
  <si>
    <t>WBS-1.7</t>
  </si>
  <si>
    <t>Khảo sát BlueStore/RocksDB và DB/WAL</t>
  </si>
  <si>
    <t>Xác minh objectstore, block/block.db/block.wal, OSD metadata, disk health.</t>
  </si>
  <si>
    <t>Storage backend inventory</t>
  </si>
  <si>
    <t>WBS-1.8</t>
  </si>
  <si>
    <t>Khảo sát pool, PG, CRUSH, capacity và health history</t>
  </si>
  <si>
    <t>Pool replication/EC, size/min_size, autoscaler, failure domain, utilization, nearfull/backfillfull.</t>
  </si>
  <si>
    <t>Pool/PG/CRUSH report</t>
  </si>
  <si>
    <t>WBS-1.9</t>
  </si>
  <si>
    <t>Khảo sát dịch vụ và client</t>
  </si>
  <si>
    <t>RGW/RBD/CephFS/NFS/iSCSI/mirror; IAM, Lifecycle, Versioning, Object Lock; client OS/kernel/library.</t>
  </si>
  <si>
    <t>Service/client inventory</t>
  </si>
  <si>
    <t>WBS-1.10</t>
  </si>
  <si>
    <t>Khảo sát host platform và delivery artifact</t>
  </si>
  <si>
    <t>OS, kernel, container runtime, registry/repo, network, DNS/NTP, SSH/sudo/OOB.</t>
  </si>
  <si>
    <t>Host cohort matrix</t>
  </si>
  <si>
    <t>WBS-1.11</t>
  </si>
  <si>
    <t>Khảo sát workload Production</t>
  </si>
  <si>
    <t>IOPS, throughput, object/block size, read/write mix, concurrency, peak window, SLO và backup hiện tại.</t>
  </si>
  <si>
    <t>1.2</t>
  </si>
  <si>
    <t>Workload profile As-Is</t>
  </si>
  <si>
    <t>WBS-1.12</t>
  </si>
  <si>
    <t>Phát hành As-Is Report và Blocker Register</t>
  </si>
  <si>
    <t>Chỉ dùng fact có evidence; UNKNOWN critical được đưa vào blocker.</t>
  </si>
  <si>
    <t>1.5–1.11</t>
  </si>
  <si>
    <t>As-Is Report + blockers</t>
  </si>
  <si>
    <t>WBS-2.1</t>
  </si>
  <si>
    <t>Target &amp; Compatibility</t>
  </si>
  <si>
    <t>W2</t>
  </si>
  <si>
    <t>Nghiên cứu target ứng viên</t>
  </si>
  <si>
    <t>So sánh vòng đời hỗ trợ, ổn định, security fix, phương thức triển khai và rủi ro vận hành.</t>
  </si>
  <si>
    <t>1.12</t>
  </si>
  <si>
    <t>Target options analysis</t>
  </si>
  <si>
    <t>WBS-2.2</t>
  </si>
  <si>
    <t>Xác minh đường nâng cấp được hỗ trợ</t>
  </si>
  <si>
    <t>Đối chiếu official upgrade/release notes; không bỏ qua major hop chưa được xác nhận.</t>
  </si>
  <si>
    <t>Supported-path evidence</t>
  </si>
  <si>
    <t>WBS-2.3</t>
  </si>
  <si>
    <t>Định nghĩa tiêu chí chọn target</t>
  </si>
  <si>
    <t>Support lifecycle, OS/client/vendor, feature, risk, thời gian Lab, khả năng fix-forward.</t>
  </si>
  <si>
    <t>2.1</t>
  </si>
  <si>
    <t>Decision criteria</t>
  </si>
  <si>
    <t>WBS-2.4</t>
  </si>
  <si>
    <t>Thiết kế schema compatibility matrix</t>
  </si>
  <si>
    <t>From/To, deployment, OS/kernel, backend, daemon/service/client, feature/config, known issue, gate, evidence.</t>
  </si>
  <si>
    <t>2.2</t>
  </si>
  <si>
    <t>Matrix template</t>
  </si>
  <si>
    <t>WBS-2.5</t>
  </si>
  <si>
    <t>W3</t>
  </si>
  <si>
    <t>Lập Compatibility Matrix H1</t>
  </si>
  <si>
    <t>Pacific 16.2.5 → 16.2.15; patch, image/repo, daemon, dịch vụ, regression và exit criteria.</t>
  </si>
  <si>
    <t>2.4</t>
  </si>
  <si>
    <t>Compatibility H1</t>
  </si>
  <si>
    <t>WBS-2.6</t>
  </si>
  <si>
    <t>Lập Compatibility Matrix H2</t>
  </si>
  <si>
    <t>Pacific 16.2.15 → Quincy 17.2.x; backend, OS/client, daemon/service, config, blocker.</t>
  </si>
  <si>
    <t>Compatibility H2</t>
  </si>
  <si>
    <t>WBS-2.7</t>
  </si>
  <si>
    <t>Lập Compatibility Matrix H3</t>
  </si>
  <si>
    <t>Quincy 17.2.x → Reef 18.2.7; client/service, BlueStore/RocksDB, config, regression.</t>
  </si>
  <si>
    <t>Compatibility H3</t>
  </si>
  <si>
    <t>WBS-2.8</t>
  </si>
  <si>
    <t>Đánh giá blocker và biện pháp xử lý</t>
  </si>
  <si>
    <t>Phân loại BLOCK/CONDITIONAL/PASS; chốt owner và deadline cho từng blocker.</t>
  </si>
  <si>
    <t>2.5–2.7</t>
  </si>
  <si>
    <t>Mitigation register</t>
  </si>
  <si>
    <t>WBS-2.9</t>
  </si>
  <si>
    <t>Lập Target &amp; Hop Decision Record</t>
  </si>
  <si>
    <t>Ghi rõ target cuối, transit version, lý do chọn và điều kiện xem xét lại.</t>
  </si>
  <si>
    <t>2.8</t>
  </si>
  <si>
    <t>Decision Record</t>
  </si>
  <si>
    <t>WBS-2.10</t>
  </si>
  <si>
    <t>Revalidate release status/support và chốt target/hop</t>
  </si>
  <si>
    <t>Xác minh lại patch release, vòng đời hỗ trợ và đường nâng cấp trước khi khóa thiết kế Lab.</t>
  </si>
  <si>
    <t>2.9</t>
  </si>
  <si>
    <t>Approved Target &amp; Hop Decision Record</t>
  </si>
  <si>
    <t>WBS-3.1</t>
  </si>
  <si>
    <t>Thiết kế quy trình</t>
  </si>
  <si>
    <t>W4</t>
  </si>
  <si>
    <t>Xây Master Upgrade Strategy</t>
  </si>
  <si>
    <t>Mục tiêu minimal downtime, nguyên tắc rolling, change window, vai trò, gate và evidence.</t>
  </si>
  <si>
    <t>Upgrade Strategy v0.1</t>
  </si>
  <si>
    <t>WBS-3.2</t>
  </si>
  <si>
    <t>Tạo Master Runbook skeleton</t>
  </si>
  <si>
    <t>Bố cục pre-check, backup, thực thi, monitoring, post-check, pause/stop, exit gate từng hop.</t>
  </si>
  <si>
    <t>3.1</t>
  </si>
  <si>
    <t>Runbook v0.1</t>
  </si>
  <si>
    <t>WBS-3.3</t>
  </si>
  <si>
    <t>Hoàn thiện As-Is Checklist</t>
  </si>
  <si>
    <t>Bổ sung command/evidence/owner/status và liên kết tới compatibility item.</t>
  </si>
  <si>
    <t>As-Is Checklist v1.0</t>
  </si>
  <si>
    <t>WBS-3.4</t>
  </si>
  <si>
    <t>Tạo Pre-upgrade Readiness Checklist chung</t>
  </si>
  <si>
    <t>Health, quorum, OSD/PG, capacity, backend, client, artifact, monitoring, access, CAB.</t>
  </si>
  <si>
    <t>Readiness Checklist v0.1</t>
  </si>
  <si>
    <t>WBS-3.5</t>
  </si>
  <si>
    <t>Tạo Pre-hop Checklist H1/H2/H3</t>
  </si>
  <si>
    <t>Thêm điều kiện đặc thù version, backup checkpoint và final readiness T-30 phút.</t>
  </si>
  <si>
    <t>3.4</t>
  </si>
  <si>
    <t>3 Pre-hop Checklists</t>
  </si>
  <si>
    <t>WBS-3.6</t>
  </si>
  <si>
    <t>Tạo Rolling Monitoring Checklist chung</t>
  </si>
  <si>
    <t>Upgrade status, health, quorum, OSD/PG, crash, recovery, client I/O, latency/error rate, CONTINUE/PAUSE/STOP.</t>
  </si>
  <si>
    <t>3.2</t>
  </si>
  <si>
    <t>Monitoring common v0.1</t>
  </si>
  <si>
    <t>WBS-3.7</t>
  </si>
  <si>
    <t>Tạo Monitoring Checklist H1/H2/H3</t>
  </si>
  <si>
    <t>Bổ sung mixed-version expectation, daemon batch, known risk và evidence cho từng hop.</t>
  </si>
  <si>
    <t>3.6</t>
  </si>
  <si>
    <t>3 Hop Monitoring Checklists</t>
  </si>
  <si>
    <t>WBS-3.8</t>
  </si>
  <si>
    <t>Tạo Exit Gate &amp; Soak Checklist H1/H2/H3</t>
  </si>
  <si>
    <t>Version convergence, functional/data integrity, health ổn định, soak duration và GO sang hop tiếp theo.</t>
  </si>
  <si>
    <t>3.5–3.7</t>
  </si>
  <si>
    <t>3 Exit/Soak Checklists</t>
  </si>
  <si>
    <t>WBS-3.9</t>
  </si>
  <si>
    <t>Tạo GO/NO-GO Decision Checklist</t>
  </si>
  <si>
    <t>Quy tắc không còn BLOCK/UNKNOWN critical, evidence hợp lệ, approver và hành động tiếp theo.</t>
  </si>
  <si>
    <t>3.8</t>
  </si>
  <si>
    <t>GO-NO-GO Checklist</t>
  </si>
  <si>
    <t>WBS-3.10</t>
  </si>
  <si>
    <t>Xây Backup &amp; Recovery Plan</t>
  </si>
  <si>
    <t>Phạm vi control-plane và data, RPO/RTO, off-cluster copy, retention, owner, restore validation.</t>
  </si>
  <si>
    <t>1.9–1.11</t>
  </si>
  <si>
    <t>Backup &amp; Recovery Plan v0.1</t>
  </si>
  <si>
    <t>WBS-3.11</t>
  </si>
  <si>
    <t>Tạo Backup/Restore Runbook &amp; Checklist</t>
  </si>
  <si>
    <t>Cách tạo evidence, checksum, restore mẫu; checklist được thực thi trước từng hop.</t>
  </si>
  <si>
    <t>3.10</t>
  </si>
  <si>
    <t>Backup artifacts v0.1</t>
  </si>
  <si>
    <t>WBS-3.12</t>
  </si>
  <si>
    <t>Xây Rollback/Fix-forward Plan</t>
  </si>
  <si>
    <t>Phân biệt rollback cấu hình/dịch vụ với downgrade; trigger, pause, fix-forward và recovery path.</t>
  </si>
  <si>
    <t>3.2,3.10</t>
  </si>
  <si>
    <t>Rollback/Fix-forward Plan v0.1</t>
  </si>
  <si>
    <t>WBS-3.13</t>
  </si>
  <si>
    <t>Tạo Stop/Pause/Resume Checklist</t>
  </si>
  <si>
    <t>Các ngưỡng dừng, quyền quyết định, lệnh/thao tác và điều kiện tiếp tục.</t>
  </si>
  <si>
    <t>3.12</t>
  </si>
  <si>
    <t>Stop/Pause/Resume Checklist</t>
  </si>
  <si>
    <t>WBS-3.14</t>
  </si>
  <si>
    <t>Xây Lab Test Plan</t>
  </si>
  <si>
    <t>Functional, regression, performance, integrity, backup/restore, fault/failure và soak.</t>
  </si>
  <si>
    <t>1.2,2.10</t>
  </si>
  <si>
    <t>Lab Test Plan v0.1</t>
  </si>
  <si>
    <t>WBS-3.15</t>
  </si>
  <si>
    <t>Thiết kế Lab–Production Equivalence Matrix và IO workload ảo</t>
  </si>
  <si>
    <t>Mapping topology/daemon/service/client/OS/kernel/network/capacity/workload; ghi gap, impact và control.</t>
  </si>
  <si>
    <t>Lab design + equivalence matrix + workload plan</t>
  </si>
  <si>
    <t>WBS-4.1</t>
  </si>
  <si>
    <t>Dựng Lab &amp; Baseline</t>
  </si>
  <si>
    <t>W5</t>
  </si>
  <si>
    <t>Cấp phát tài nguyên Lab</t>
  </si>
  <si>
    <t>VM/bare metal, disk, network, registry, access, time sync và monitoring endpoints.</t>
  </si>
  <si>
    <t>3.15</t>
  </si>
  <si>
    <t>Lab resources ready</t>
  </si>
  <si>
    <t>WBS-4.2</t>
  </si>
  <si>
    <t>Dựng Ceph Pacific 16.2.5 base</t>
  </si>
  <si>
    <t>Topology và failure domain tương đồng Production trong giới hạn Lab.</t>
  </si>
  <si>
    <t>4.1</t>
  </si>
  <si>
    <t>Base cluster 16.2.5</t>
  </si>
  <si>
    <t>WBS-4.3</t>
  </si>
  <si>
    <t>Cấu hình dịch vụ và client</t>
  </si>
  <si>
    <t>Bật RGW/RBD/CephFS và tính năng đang dùng; dịch vụ không dùng đánh dấu N/A.</t>
  </si>
  <si>
    <t>4.2</t>
  </si>
  <si>
    <t>Service/client lab</t>
  </si>
  <si>
    <t>WBS-4.4</t>
  </si>
  <si>
    <t>Triển khai monitoring, Evidence Collector và dashboard</t>
  </si>
  <si>
    <t>Tự động thu health/version/crash/PG/OSD/KPI/log, timestamp và snapshot trước/trong/sau hop.</t>
  </si>
  <si>
    <t>Dashboard + collector smoke-test evidence</t>
  </si>
  <si>
    <t>WBS-4.5</t>
  </si>
  <si>
    <t>Seed dữ liệu ảo và manifest checksum</t>
  </si>
  <si>
    <t>Tạo object/image/file dataset có thể kiểm tra integrity trước/sau hop.</t>
  </si>
  <si>
    <t>4.3</t>
  </si>
  <si>
    <t>Seed data + checksum manifest</t>
  </si>
  <si>
    <t>WBS-4.6</t>
  </si>
  <si>
    <t>W6</t>
  </si>
  <si>
    <t>Chạy IO Sentinel và workload baseline</t>
  </si>
  <si>
    <t>Continuous probes có heartbeat/timestamp; baseline RGW/RBD/CephFS theo profile As-Is.</t>
  </si>
  <si>
    <t>4.4–4.5</t>
  </si>
  <si>
    <t>IO Sentinel trace + baseline metrics</t>
  </si>
  <si>
    <t>WBS-4.7</t>
  </si>
  <si>
    <t>Chốt KPI baseline và ngưỡng regression</t>
  </si>
  <si>
    <t>Chốt availability/error/latency/throughput threshold dùng cho test hop và GO/NO-GO.</t>
  </si>
  <si>
    <t>4.6</t>
  </si>
  <si>
    <t>Baseline report + thresholds</t>
  </si>
  <si>
    <t>WBS-4.8</t>
  </si>
  <si>
    <t>Dry-run backup và restore mẫu</t>
  </si>
  <si>
    <t>Xác minh backup control-plane và ít nhất một mẫu dữ liệu/dịch vụ có thể phục hồi.</t>
  </si>
  <si>
    <t>3.11,4.5</t>
  </si>
  <si>
    <t>Restore evidence</t>
  </si>
  <si>
    <t>WBS-4.9</t>
  </si>
  <si>
    <t>Dry-run runbook và toàn bộ checklist v0.1</t>
  </si>
  <si>
    <t>Walkthrough vai trò, thời gian, evidence, PAUSE/STOP và handoff.</t>
  </si>
  <si>
    <t>3.2–3.14</t>
  </si>
  <si>
    <t>Dry-run findings</t>
  </si>
  <si>
    <t>WBS-4.10</t>
  </si>
  <si>
    <t>Lab Readiness &amp; Equivalence Review</t>
  </si>
  <si>
    <t>Xác nhận Lab–Production mapping, gap control, workload, collector, sentinel, backup/restore và dry-run.</t>
  </si>
  <si>
    <t>4.2–4.9</t>
  </si>
  <si>
    <t>Lab readiness + equivalence sign-off</t>
  </si>
  <si>
    <t>WBS-5.1</t>
  </si>
  <si>
    <t>Test từng hop</t>
  </si>
  <si>
    <t>W7</t>
  </si>
  <si>
    <t>Pre-check và backup checkpoint H1</t>
  </si>
  <si>
    <t>Thực thi Readiness + Pre-hop + Backup Checklist; final GO H1.</t>
  </si>
  <si>
    <t>4.10</t>
  </si>
  <si>
    <t>H1 pre-check evidence</t>
  </si>
  <si>
    <t>G4</t>
  </si>
  <si>
    <t>WBS-5.2</t>
  </si>
  <si>
    <t>Rolling upgrade H1 dưới IO liên tục</t>
  </si>
  <si>
    <t>Pacific 16.2.5 → 16.2.15; workload chạy từ trước upgrade tới sau post-check.</t>
  </si>
  <si>
    <t>5.1</t>
  </si>
  <si>
    <t>H1 execution log</t>
  </si>
  <si>
    <t>WBS-5.3</t>
  </si>
  <si>
    <t>Giám sát H1 theo batch/daemon</t>
  </si>
  <si>
    <t>Thực thi Monitoring H1; ghi version distribution, health, I/O, latency, crash và quyết định continue/pause.</t>
  </si>
  <si>
    <t>5.2</t>
  </si>
  <si>
    <t>H1 monitoring evidence</t>
  </si>
  <si>
    <t>WBS-5.4</t>
  </si>
  <si>
    <t>Post-check, functional và integrity H1</t>
  </si>
  <si>
    <t>RGW/RBD/CephFS regression; checksum; so sánh KPI với baseline.</t>
  </si>
  <si>
    <t>H1 test result</t>
  </si>
  <si>
    <t>WBS-5.5</t>
  </si>
  <si>
    <t>Soak H1 và Exit Gate</t>
  </si>
  <si>
    <t>Soak đề xuất 12–24h; 100% daemon ở target H1; không blocker; GO H2.</t>
  </si>
  <si>
    <t>5.4</t>
  </si>
  <si>
    <t>H1 Exit Gate</t>
  </si>
  <si>
    <t>G5</t>
  </si>
  <si>
    <t>WBS-5.6</t>
  </si>
  <si>
    <t>Phân tích H1 và cập nhật tài liệu</t>
  </si>
  <si>
    <t>Cập nhật runbook/checklist/known issue/time estimate dựa trên evidence H1.</t>
  </si>
  <si>
    <t>5.5</t>
  </si>
  <si>
    <t>Documents v0.5 H1</t>
  </si>
  <si>
    <t>WBS-5.7</t>
  </si>
  <si>
    <t>W8</t>
  </si>
  <si>
    <t>Pre-check và backup checkpoint H2</t>
  </si>
  <si>
    <t>Thực thi checklist sau khi H1 đã exit; final GO H2.</t>
  </si>
  <si>
    <t>H2 pre-check evidence</t>
  </si>
  <si>
    <t>G6</t>
  </si>
  <si>
    <t>WBS-5.8</t>
  </si>
  <si>
    <t>Rolling upgrade H2 dưới IO liên tục</t>
  </si>
  <si>
    <t>Pacific 16.2.15 → Quincy 17.2.x target đã chốt.</t>
  </si>
  <si>
    <t>5.7</t>
  </si>
  <si>
    <t>H2 execution log</t>
  </si>
  <si>
    <t>WBS-5.9</t>
  </si>
  <si>
    <t>Giám sát H2 theo batch/daemon</t>
  </si>
  <si>
    <t>Thực thi Monitoring H2; đặc biệt mixed-version, client compatibility và OSD behavior.</t>
  </si>
  <si>
    <t>5.8</t>
  </si>
  <si>
    <t>H2 monitoring evidence</t>
  </si>
  <si>
    <t>WBS-5.10</t>
  </si>
  <si>
    <t>Post-check, functional và integrity H2</t>
  </si>
  <si>
    <t>Functional regression, checksum, configuration/default change và KPI.</t>
  </si>
  <si>
    <t>H2 test result</t>
  </si>
  <si>
    <t>WBS-5.11</t>
  </si>
  <si>
    <t>Soak H2 và Exit Gate</t>
  </si>
  <si>
    <t>Soak đề xuất 24h; toàn bộ daemon Quincy; health và dịch vụ ổn định; GO H3.</t>
  </si>
  <si>
    <t>5.10</t>
  </si>
  <si>
    <t>H2 Exit Gate</t>
  </si>
  <si>
    <t>G7</t>
  </si>
  <si>
    <t>WBS-5.12</t>
  </si>
  <si>
    <t>Phân tích H2 và cập nhật tài liệu</t>
  </si>
  <si>
    <t>Cập nhật runbook/checklist/rollback/fix-forward và residual risk.</t>
  </si>
  <si>
    <t>5.11</t>
  </si>
  <si>
    <t>Documents v0.7 H2</t>
  </si>
  <si>
    <t>WBS-5.13</t>
  </si>
  <si>
    <t>W9</t>
  </si>
  <si>
    <t>Pre-check và backup checkpoint H3</t>
  </si>
  <si>
    <t>Thực thi checklist sau khi H2 đã exit; final GO H3.</t>
  </si>
  <si>
    <t>H3 pre-check evidence</t>
  </si>
  <si>
    <t>G8</t>
  </si>
  <si>
    <t>WBS-5.14</t>
  </si>
  <si>
    <t>Rolling upgrade H3 dưới IO liên tục</t>
  </si>
  <si>
    <t>Quincy 17.2.x → Reef 18.2.7 target ứng viên/đã chốt.</t>
  </si>
  <si>
    <t>5.13</t>
  </si>
  <si>
    <t>H3 execution log</t>
  </si>
  <si>
    <t>WBS-5.15</t>
  </si>
  <si>
    <t>Giám sát H3 theo batch/daemon</t>
  </si>
  <si>
    <t>Thực thi Monitoring H3; service/client, OSD/PG, crash, recovery và KPI.</t>
  </si>
  <si>
    <t>5.14</t>
  </si>
  <si>
    <t>H3 monitoring evidence</t>
  </si>
  <si>
    <t>WBS-5.16</t>
  </si>
  <si>
    <t>Post-check, functional và integrity H3</t>
  </si>
  <si>
    <t>Full regression, checksum, version convergence và so sánh baseline.</t>
  </si>
  <si>
    <t>H3 test result</t>
  </si>
  <si>
    <t>WBS-5.17</t>
  </si>
  <si>
    <t>Final soak target</t>
  </si>
  <si>
    <t>Chạy steady mixed workload 48–72h; theo dõi health, crash, memory, latency, recovery và dịch vụ.</t>
  </si>
  <si>
    <t>5.16</t>
  </si>
  <si>
    <t>Final soak evidence</t>
  </si>
  <si>
    <t>WBS-5.18</t>
  </si>
  <si>
    <t>Exit Gate H3</t>
  </si>
  <si>
    <t>Xác nhận target ổn định trước fault/failure suite và báo cáo cuối.</t>
  </si>
  <si>
    <t>5.17</t>
  </si>
  <si>
    <t>H3 Exit Gate</t>
  </si>
  <si>
    <t>G9</t>
  </si>
  <si>
    <t>WBS-6.1</t>
  </si>
  <si>
    <t>Fault/Failure &amp; Recovery</t>
  </si>
  <si>
    <t>W10</t>
  </si>
  <si>
    <t>Fault test: OSD daemon/disk logical failure</t>
  </si>
  <si>
    <t>Duy trì workload; đo degradation, recovery/backfill, client error và thời gian phục hồi.</t>
  </si>
  <si>
    <t>Fault result OSD</t>
  </si>
  <si>
    <t>WBS-6.2</t>
  </si>
  <si>
    <t>Failure test: host failure</t>
  </si>
  <si>
    <t>Xác minh quorum/failure domain, dịch vụ và recovery khi một host Lab mất.</t>
  </si>
  <si>
    <t>Failure result host</t>
  </si>
  <si>
    <t>WBS-6.3</t>
  </si>
  <si>
    <t>Failure test: MON/MGR/RGW instance</t>
  </si>
  <si>
    <t>Xác minh failover control-plane và service endpoint dưới IO.</t>
  </si>
  <si>
    <t>Failover results</t>
  </si>
  <si>
    <t>WBS-6.4</t>
  </si>
  <si>
    <t>Test pause/resume và fix-forward</t>
  </si>
  <si>
    <t>Tạo lỗi kiểm soát trong Lab, kích hoạt STOP, chẩn đoán, xử lý và tiếp tục theo plan.</t>
  </si>
  <si>
    <t>3.12–3.13</t>
  </si>
  <si>
    <t>Fix-forward evidence</t>
  </si>
  <si>
    <t>WBS-6.5</t>
  </si>
  <si>
    <t>Đánh giá recovery/backfill dưới workload</t>
  </si>
  <si>
    <t>Đo ảnh hưởng recovery tới latency/throughput; xác minh throttling/operational control.</t>
  </si>
  <si>
    <t>6.1–6.3</t>
  </si>
  <si>
    <t>Recovery impact report</t>
  </si>
  <si>
    <t>WBS-6.6</t>
  </si>
  <si>
    <t>Soak ổn định sau fault suite</t>
  </si>
  <si>
    <t>Xác minh không còn PG stuck/crash và dịch vụ trở về steady state.</t>
  </si>
  <si>
    <t>6.4–6.5</t>
  </si>
  <si>
    <t>Post-fault soak evidence</t>
  </si>
  <si>
    <t>WBS-6.7</t>
  </si>
  <si>
    <t>So sánh trước/sau và đánh giá impact</t>
  </si>
  <si>
    <t>KPI, downtime/error, stability, security fix coverage và residual trade-off.</t>
  </si>
  <si>
    <t>5.17,6.6</t>
  </si>
  <si>
    <t>Impact analysis</t>
  </si>
  <si>
    <t>WBS-6.8</t>
  </si>
  <si>
    <t>End-to-end rehearsal bởi kỹ sư thứ hai &amp; Lab Final Gate</t>
  </si>
  <si>
    <t>Chạy lại toàn luồng theo runbook, thu evidence tự động và xác nhận khả năng tái lập độc lập.</t>
  </si>
  <si>
    <t>5.18,6.7</t>
  </si>
  <si>
    <t>Rehearsal report + Lab Final Gate</t>
  </si>
  <si>
    <t>G10</t>
  </si>
  <si>
    <t>WBS-7.1</t>
  </si>
  <si>
    <t>Tổng hợp &amp; Bàn giao</t>
  </si>
  <si>
    <t>Hoàn thiện Traceability Matrix và evidence index</t>
  </si>
  <si>
    <t>Requirement → task → checklist → test → gate → evidence → kết quả.</t>
  </si>
  <si>
    <t>6.8</t>
  </si>
  <si>
    <t>Traceability Matrix + evidence index</t>
  </si>
  <si>
    <t>WBS-7.2</t>
  </si>
  <si>
    <t>Hoàn thiện báo cáo nghiên cứu và impact</t>
  </si>
  <si>
    <t>Version changes, bug/performance/stability/security, trade-off và tác động Cloud Storage.</t>
  </si>
  <si>
    <t>2.1–2.10,6.7</t>
  </si>
  <si>
    <t>Research &amp; Impact Report</t>
  </si>
  <si>
    <t>WBS-7.3</t>
  </si>
  <si>
    <t>Hoàn thiện Lab Test Report</t>
  </si>
  <si>
    <t>Môi trường, workload, từng hop, downtime, KPI, lỗi, fault/failure, soak và kết luận.</t>
  </si>
  <si>
    <t>5.1–6.8</t>
  </si>
  <si>
    <t>Lab Test Report</t>
  </si>
  <si>
    <t>WBS-7.4</t>
  </si>
  <si>
    <t>Phát hành Master Runbook v1.0</t>
  </si>
  <si>
    <t>Tích hợp thời gian thực tế, expected output, xử lý lỗi và evidence từ Lab.</t>
  </si>
  <si>
    <t>3.2,5.6,5.12,6.8</t>
  </si>
  <si>
    <t>Master Runbook v1.0</t>
  </si>
  <si>
    <t>WBS-7.5</t>
  </si>
  <si>
    <t>Phát hành toàn bộ checklist Production-ready</t>
  </si>
  <si>
    <t>Readiness, pre-hop, monitoring, exit/soak, backup, restore, stop/resume, GO/NO-GO.</t>
  </si>
  <si>
    <t>3.3–3.13,6.8</t>
  </si>
  <si>
    <t>Checklist Pack v1.0</t>
  </si>
  <si>
    <t>WBS-7.6</t>
  </si>
  <si>
    <t>Hoàn thiện Backup/Recovery và Rollback/Fix-forward</t>
  </si>
  <si>
    <t>Bổ sung kết quả restore/fix-forward Lab, trigger và residual limitation.</t>
  </si>
  <si>
    <t>4.8,6.4</t>
  </si>
  <si>
    <t>Recovery Package v1.0</t>
  </si>
  <si>
    <t>WBS-7.7</t>
  </si>
  <si>
    <t>Lập Production Readiness &amp; GO/NO-GO Recommendation</t>
  </si>
  <si>
    <t>Điều kiện áp dụng, blocker còn lại, remediation, estimated downtime và monitoring window.</t>
  </si>
  <si>
    <t>7.1–7.6</t>
  </si>
  <si>
    <t>Readiness recommendation</t>
  </si>
  <si>
    <t>WBS-7.8</t>
  </si>
  <si>
    <t>Peer review/CAB simulation</t>
  </si>
  <si>
    <t>Kỹ sư khác walkthrough runbook; mô phỏng quyết định GO/STOP/escalation.</t>
  </si>
  <si>
    <t>7.4–7.7</t>
  </si>
  <si>
    <t>Review findings closed</t>
  </si>
  <si>
    <t>WBS-7.9</t>
  </si>
  <si>
    <t>Đóng gói và bàn giao</t>
  </si>
  <si>
    <t>Báo cáo tổng, compatibility, runbook, plans, checklist pack, Lab evidence và executive summary.</t>
  </si>
  <si>
    <t>7.8</t>
  </si>
  <si>
    <t>Final project package</t>
  </si>
  <si>
    <t>G11</t>
  </si>
  <si>
    <t>GANTT 10 TUẦN – CEPH UPGRADE PROJECT</t>
  </si>
  <si>
    <t>Timeline lấy từ Start/End trong 01_KeHoach; 50 ngày làm việc; hoàn tất trước 2026-11-01</t>
  </si>
  <si>
    <t>TUẦN 1</t>
  </si>
  <si>
    <t>TUẦN 2</t>
  </si>
  <si>
    <t>TUẦN 3</t>
  </si>
  <si>
    <t>TUẦN 4</t>
  </si>
  <si>
    <t>TUẦN 5</t>
  </si>
  <si>
    <t>TUẦN 6</t>
  </si>
  <si>
    <t>TUẦN 7</t>
  </si>
  <si>
    <t>TUẦN 8</t>
  </si>
  <si>
    <t>TUẦN 9</t>
  </si>
  <si>
    <t>TUẦN 10</t>
  </si>
  <si>
    <t>Mỗi tài liệu có bản nháp trước Lab, được cập nhật sau từng hop và phát hành bản cuối ở Tuần 10</t>
  </si>
  <si>
    <t>D01</t>
  </si>
  <si>
    <t>Assessment</t>
  </si>
  <si>
    <t>As-Is Survey Checklist</t>
  </si>
  <si>
    <t>Thu thập fact có evidence và phát hiện UNKNOWN/BLOCK</t>
  </si>
  <si>
    <t>Toàn cluster</t>
  </si>
  <si>
    <t>Checklist đã điền + evidence index</t>
  </si>
  <si>
    <t>D02</t>
  </si>
  <si>
    <t>As-Is Report &amp; Blocker Register</t>
  </si>
  <si>
    <t>Mô tả hiện trạng và blocker quyết định target/hop</t>
  </si>
  <si>
    <t>Gate G0</t>
  </si>
  <si>
    <t>D03</t>
  </si>
  <si>
    <t>Decision</t>
  </si>
  <si>
    <t>Target &amp; Hop Decision Record</t>
  </si>
  <si>
    <t>Chốt target cuối và transit versions</t>
  </si>
  <si>
    <t>Toàn dự án</t>
  </si>
  <si>
    <t>Gate G1</t>
  </si>
  <si>
    <t>D04</t>
  </si>
  <si>
    <t>Compatibility</t>
  </si>
  <si>
    <t>Compatibility Matrix H1</t>
  </si>
  <si>
    <t>Pacific 16.2.5 → 16.2.15</t>
  </si>
  <si>
    <t>H1</t>
  </si>
  <si>
    <t>W3/W7</t>
  </si>
  <si>
    <t>PASS/BLOCK theo từng domain</t>
  </si>
  <si>
    <t>D05</t>
  </si>
  <si>
    <t>Compatibility Matrix H2</t>
  </si>
  <si>
    <t>Pacific 16.2.15 → Quincy 17.2.x</t>
  </si>
  <si>
    <t>H2</t>
  </si>
  <si>
    <t>W3/W8</t>
  </si>
  <si>
    <t>D06</t>
  </si>
  <si>
    <t>Compatibility Matrix H3</t>
  </si>
  <si>
    <t>Quincy 17.2.x → Reef 18.2.7</t>
  </si>
  <si>
    <t>H3</t>
  </si>
  <si>
    <t>W3/W9</t>
  </si>
  <si>
    <t>D07</t>
  </si>
  <si>
    <t>Governance</t>
  </si>
  <si>
    <t>Risk &amp; Mitigation Register</t>
  </si>
  <si>
    <t>Theo dõi blocker, risk, owner và residual risk</t>
  </si>
  <si>
    <t>Hàng tuần</t>
  </si>
  <si>
    <t>Không còn risk critical chưa xử lý</t>
  </si>
  <si>
    <t>D08</t>
  </si>
  <si>
    <t>Procedure</t>
  </si>
  <si>
    <t>Master Upgrade Strategy</t>
  </si>
  <si>
    <t>Nguyên tắc minimal downtime, gate, vai trò và phạm vi</t>
  </si>
  <si>
    <t>W4/W9</t>
  </si>
  <si>
    <t>Production-ready strategy</t>
  </si>
  <si>
    <t>D09</t>
  </si>
  <si>
    <t>Master Upgrade Runbook</t>
  </si>
  <si>
    <t>Câu lệnh/thao tác, expected output, xử lý lỗi từng hop</t>
  </si>
  <si>
    <t>H1/H2/H3</t>
  </si>
  <si>
    <t>Sau từng hop</t>
  </si>
  <si>
    <t>Runbook v1.0 được peer review</t>
  </si>
  <si>
    <t>D10</t>
  </si>
  <si>
    <t>Backup</t>
  </si>
  <si>
    <t>Backup &amp; Recovery Plan</t>
  </si>
  <si>
    <t>Scope, RPO/RTO, off-cluster copy, retention, owner</t>
  </si>
  <si>
    <t>W6/W10</t>
  </si>
  <si>
    <t>D11</t>
  </si>
  <si>
    <t>Backup/Restore Runbook</t>
  </si>
  <si>
    <t>Cách backup/verify/restore theo deployment và service</t>
  </si>
  <si>
    <t>Mỗi hop</t>
  </si>
  <si>
    <t>Dry-run pass</t>
  </si>
  <si>
    <t>D12</t>
  </si>
  <si>
    <t>Recovery</t>
  </si>
  <si>
    <t>Rollback/Fix-forward Plan</t>
  </si>
  <si>
    <t>Trigger, pause/stop, fix-forward, service recovery</t>
  </si>
  <si>
    <t>W7–W10</t>
  </si>
  <si>
    <t>Lab evidence</t>
  </si>
  <si>
    <t>D13</t>
  </si>
  <si>
    <t>Testing</t>
  </si>
  <si>
    <t>Lab Design, Equivalence &amp; IO Workload Plan</t>
  </si>
  <si>
    <t>Topology, Lab–Prod mapping, Evidence Collector, IO Sentinel, data seed và KPI</t>
  </si>
  <si>
    <t>Lab</t>
  </si>
  <si>
    <t>W5–W6</t>
  </si>
  <si>
    <t>Gate G3</t>
  </si>
  <si>
    <t>D14</t>
  </si>
  <si>
    <t>Lab Test Plan</t>
  </si>
  <si>
    <t>Functional, performance, integrity, fault/failure, soak</t>
  </si>
  <si>
    <t>Lab/Hops</t>
  </si>
  <si>
    <t>W6–W9</t>
  </si>
  <si>
    <t>Trace tới từng requirement</t>
  </si>
  <si>
    <t>D15</t>
  </si>
  <si>
    <t>Lab Test &amp; End-to-End Rehearsal Report</t>
  </si>
  <si>
    <t>Kết quả từng hop, downtime, KPI, fault/restore/rehearsal và evidence</t>
  </si>
  <si>
    <t>Gate G10</t>
  </si>
  <si>
    <t>D16</t>
  </si>
  <si>
    <t>Report</t>
  </si>
  <si>
    <t>Bug/performance/stability/security/trade-off và impact</t>
  </si>
  <si>
    <t>16.2.5→Target</t>
  </si>
  <si>
    <t>W3–W9</t>
  </si>
  <si>
    <t>Có references và evidence</t>
  </si>
  <si>
    <t>D17</t>
  </si>
  <si>
    <t>Production Readiness &amp; GO/NO-GO Recommendation</t>
  </si>
  <si>
    <t>Kết luận điều kiện áp dụng Production và remediation</t>
  </si>
  <si>
    <t>Production candidate</t>
  </si>
  <si>
    <t>PASS/CONDITIONAL/NO-GO</t>
  </si>
  <si>
    <t>D18</t>
  </si>
  <si>
    <t>Handover</t>
  </si>
  <si>
    <t>Final Project Package</t>
  </si>
  <si>
    <t>Bộ báo cáo, matrix, plans, runbook, checklist và Lab evidence</t>
  </si>
  <si>
    <t>Gate G11</t>
  </si>
  <si>
    <t>Checklist chung được thiết kế ở W4; checklist H1/H2/H3 được xác minh và chốt sau đúng hop tương ứng</t>
  </si>
  <si>
    <t>CL01</t>
  </si>
  <si>
    <t>Khảo sát</t>
  </si>
  <si>
    <t>Trước target selection</t>
  </si>
  <si>
    <t>Thu thập hiện trạng có evidence</t>
  </si>
  <si>
    <t>CL02</t>
  </si>
  <si>
    <t>Sẵn sàng</t>
  </si>
  <si>
    <t>Pre-upgrade Readiness Checklist chung</t>
  </si>
  <si>
    <t>Mọi hop</t>
  </si>
  <si>
    <t>T-7d/T-24h/T-30m</t>
  </si>
  <si>
    <t>Health, capacity, backend, client, artifact, access, equivalence gap, monitoring/automation</t>
  </si>
  <si>
    <t>G3/G4/G6/G8</t>
  </si>
  <si>
    <t>CL03</t>
  </si>
  <si>
    <t>Pre-hop Checklist H1</t>
  </si>
  <si>
    <t>Trước H1</t>
  </si>
  <si>
    <t>Điều kiện riêng 16.2.5→16.2.15</t>
  </si>
  <si>
    <t>Sau H1</t>
  </si>
  <si>
    <t>CL04</t>
  </si>
  <si>
    <t>Pre-hop Checklist H2</t>
  </si>
  <si>
    <t>Trước H2</t>
  </si>
  <si>
    <t>Điều kiện riêng Pacific→Quincy</t>
  </si>
  <si>
    <t>Sau H2</t>
  </si>
  <si>
    <t>CL05</t>
  </si>
  <si>
    <t>Pre-hop Checklist H3</t>
  </si>
  <si>
    <t>Trước H3</t>
  </si>
  <si>
    <t>Điều kiện riêng Quincy→Reef</t>
  </si>
  <si>
    <t>Sau H3</t>
  </si>
  <si>
    <t>CL06</t>
  </si>
  <si>
    <t>Giám sát</t>
  </si>
  <si>
    <t>Rolling Monitoring Checklist chung</t>
  </si>
  <si>
    <t>Trong upgrade</t>
  </si>
  <si>
    <t>Health/quorum/OSD/PG/version/crash/I/O/KPI + Evidence Collector/IO Sentinel và CONTINUE/PAUSE/STOP</t>
  </si>
  <si>
    <t>Mỗi batch</t>
  </si>
  <si>
    <t>CL07</t>
  </si>
  <si>
    <t>Rolling Monitoring Checklist H1</t>
  </si>
  <si>
    <t>Trong H1</t>
  </si>
  <si>
    <t>Mixed-version và risk đặc thù H1</t>
  </si>
  <si>
    <t>CL08</t>
  </si>
  <si>
    <t>Rolling Monitoring Checklist H2</t>
  </si>
  <si>
    <t>Trong H2</t>
  </si>
  <si>
    <t>Mixed-version, backend/client/config đặc thù H2</t>
  </si>
  <si>
    <t>CL09</t>
  </si>
  <si>
    <t>Rolling Monitoring Checklist H3</t>
  </si>
  <si>
    <t>Trong H3</t>
  </si>
  <si>
    <t>Service/client/OSD risk đặc thù H3</t>
  </si>
  <si>
    <t>CL10</t>
  </si>
  <si>
    <t>Post-check</t>
  </si>
  <si>
    <t>Functional &amp; Regression Checklist</t>
  </si>
  <si>
    <t>Ngay sau hop</t>
  </si>
  <si>
    <t>RGW/RBD/CephFS và tính năng Production sử dụng</t>
  </si>
  <si>
    <t>Exit Gate</t>
  </si>
  <si>
    <t>CL11</t>
  </si>
  <si>
    <t>Data Integrity Checklist</t>
  </si>
  <si>
    <t>Trước/sau hop</t>
  </si>
  <si>
    <t>Checksum/object count/volume/file consistency</t>
  </si>
  <si>
    <t>CL12</t>
  </si>
  <si>
    <t>Exit Gate &amp; Soak Checklist H1</t>
  </si>
  <si>
    <t>Version convergence, health, functional, KPI và soak 12–24h</t>
  </si>
  <si>
    <t>CL13</t>
  </si>
  <si>
    <t>Exit Gate &amp; Soak Checklist H2</t>
  </si>
  <si>
    <t>Version convergence, health, functional, KPI và soak 24h</t>
  </si>
  <si>
    <t>CL14</t>
  </si>
  <si>
    <t>Exit Gate &amp; Soak Checklist H3</t>
  </si>
  <si>
    <t>Version convergence, health, functional, KPI và soak 48–72h</t>
  </si>
  <si>
    <t>CL15</t>
  </si>
  <si>
    <t>Backup Checklist per Hop</t>
  </si>
  <si>
    <t>Trước hop</t>
  </si>
  <si>
    <t>Config/control-plane/data copy/evidence/checksum/retention</t>
  </si>
  <si>
    <t>G4/G6/G8</t>
  </si>
  <si>
    <t>CL16</t>
  </si>
  <si>
    <t>Restore Validation Checklist</t>
  </si>
  <si>
    <t>Lab/toàn dự án</t>
  </si>
  <si>
    <t>W6 và khi backup thay đổi</t>
  </si>
  <si>
    <t>Khả năng truy cập, restore mẫu, checksum và owner</t>
  </si>
  <si>
    <t>G3/G10</t>
  </si>
  <si>
    <t>CL17</t>
  </si>
  <si>
    <t>Khi vượt threshold</t>
  </si>
  <si>
    <t>Trigger, quyền quyết định, evidence, resume criteria</t>
  </si>
  <si>
    <t>Sau W10 rehearsal</t>
  </si>
  <si>
    <t>STOP gate</t>
  </si>
  <si>
    <t>CL18</t>
  </si>
  <si>
    <t>Rollback/Fix-forward Activation Checklist</t>
  </si>
  <si>
    <t>Khi upgrade lỗi</t>
  </si>
  <si>
    <t>Chọn fix-forward/recovery, không giả định downgrade in-place</t>
  </si>
  <si>
    <t>Escalation</t>
  </si>
  <si>
    <t>CL19</t>
  </si>
  <si>
    <t>Fault/Failure Test Checklist</t>
  </si>
  <si>
    <t>Lab target</t>
  </si>
  <si>
    <t>OSD/host/MON/MGR/RGW/recovery và end-to-end rehearsal dưới workload</t>
  </si>
  <si>
    <t>CL20</t>
  </si>
  <si>
    <t>GO/NO-GO Decision Checklist</t>
  </si>
  <si>
    <t>Mọi gate</t>
  </si>
  <si>
    <t>Trước/sau hop và cuối Lab</t>
  </si>
  <si>
    <t>0 BLOCK, 0 UNKNOWN critical, evidence hợp lệ, approver</t>
  </si>
  <si>
    <t>G0–G11</t>
  </si>
  <si>
    <t>CL21</t>
  </si>
  <si>
    <t>Bàn giao</t>
  </si>
  <si>
    <t>Final Acceptance Checklist</t>
  </si>
  <si>
    <t>Đủ deliverable, Traceability Matrix, evidence coverage, peer review và residual risks</t>
  </si>
  <si>
    <t>Threshold sự cố chốt sau W1 As-Is và W6 baseline; không dùng giá trị giả định làm tiêu chí Production</t>
  </si>
  <si>
    <t>EQ-01</t>
  </si>
  <si>
    <t>Lab readiness</t>
  </si>
  <si>
    <t>Equivalence</t>
  </si>
  <si>
    <t>Xác minh Lab–Production Equivalence Matrix</t>
  </si>
  <si>
    <t>N/A</t>
  </si>
  <si>
    <t>As-Is inventory và Lab mapping đã hoàn tất</t>
  </si>
  <si>
    <t>100% mapping critical; mọi gap có impact, control và owner</t>
  </si>
  <si>
    <t>2h</t>
  </si>
  <si>
    <t>LAB-02</t>
  </si>
  <si>
    <t>Data integrity</t>
  </si>
  <si>
    <t>Seed dữ liệu và checksum manifest</t>
  </si>
  <si>
    <t>RGW/RBD/CephFS</t>
  </si>
  <si>
    <t>Dataset tái lập được trước mọi hop</t>
  </si>
  <si>
    <t>100% manifest được tạo và lưu ngoài cluster Lab</t>
  </si>
  <si>
    <t>IO-01</t>
  </si>
  <si>
    <t>Baseline</t>
  </si>
  <si>
    <t>Performance</t>
  </si>
  <si>
    <t>RGW mixed S3 workload</t>
  </si>
  <si>
    <t>PUT/GET/LIST/DELETE</t>
  </si>
  <si>
    <t>Profile theo Production; nếu thiếu dùng giả định có nhãn</t>
  </si>
  <si>
    <t>KPI baseline + 0 data loss</t>
  </si>
  <si>
    <t>60–120m</t>
  </si>
  <si>
    <t>IO-02</t>
  </si>
  <si>
    <t>Functional</t>
  </si>
  <si>
    <t>RGW advanced functions</t>
  </si>
  <si>
    <t>IAM/Lifecycle/Versioning/Object Lock</t>
  </si>
  <si>
    <t>Chỉ chạy tính năng đang dùng</t>
  </si>
  <si>
    <t>Tất cả functional probes PASS</t>
  </si>
  <si>
    <t>60m</t>
  </si>
  <si>
    <t>IO-03</t>
  </si>
  <si>
    <t>RBD random workload</t>
  </si>
  <si>
    <t>fio-like randrw</t>
  </si>
  <si>
    <t>Block size/read-write ratio theo As-Is</t>
  </si>
  <si>
    <t>KPI baseline + checksum PASS</t>
  </si>
  <si>
    <t>IO-04</t>
  </si>
  <si>
    <t>RBD sequential workload</t>
  </si>
  <si>
    <t>Sequential read/write</t>
  </si>
  <si>
    <t>Đo throughput và latency</t>
  </si>
  <si>
    <t>IO-05</t>
  </si>
  <si>
    <t>CephFS data/metadata workload</t>
  </si>
  <si>
    <t>Read/write/create/stat/delete</t>
  </si>
  <si>
    <t>Chỉ áp dụng nếu Production dùng CephFS</t>
  </si>
  <si>
    <t>KPI baseline + namespace integrity PASS</t>
  </si>
  <si>
    <t>H1-01</t>
  </si>
  <si>
    <t>Upgrade</t>
  </si>
  <si>
    <t>Rolling upgrade dưới steady IO</t>
  </si>
  <si>
    <t>Mixed service workload</t>
  </si>
  <si>
    <t>Pre-H1 GO + backup checkpoint</t>
  </si>
  <si>
    <t>Upgrade hoàn thành; I/O trong threshold</t>
  </si>
  <si>
    <t>Theo runbook</t>
  </si>
  <si>
    <t>H1-02</t>
  </si>
  <si>
    <t>Monitoring</t>
  </si>
  <si>
    <t>Evidence Collector/IO Sentinel theo batch</t>
  </si>
  <si>
    <t>Continuous probes + dashboard</t>
  </si>
  <si>
    <t>Collector/Sentinel smoke test PASS</t>
  </si>
  <si>
    <t>Không vượt STOP; evidence đủ timestamp và không có gap giám sát</t>
  </si>
  <si>
    <t>H1-03</t>
  </si>
  <si>
    <t>Regression</t>
  </si>
  <si>
    <t>Functional + integrity post H1</t>
  </si>
  <si>
    <t>100% daemon target H1</t>
  </si>
  <si>
    <t>Functional/checksum PASS</t>
  </si>
  <si>
    <t>2–4h</t>
  </si>
  <si>
    <t>H1-04</t>
  </si>
  <si>
    <t>Soak</t>
  </si>
  <si>
    <t>Soak H1</t>
  </si>
  <si>
    <t>Steady mixed IO</t>
  </si>
  <si>
    <t>Post-check PASS</t>
  </si>
  <si>
    <t>Health/KPI ổn định 12–24h</t>
  </si>
  <si>
    <t>12–24h</t>
  </si>
  <si>
    <t>H2-01</t>
  </si>
  <si>
    <t>Rolling Pacific→Quincy dưới IO</t>
  </si>
  <si>
    <t>H1 Exit PASS + Pre-H2 GO</t>
  </si>
  <si>
    <t>H2-02</t>
  </si>
  <si>
    <t>Client/service compatibility</t>
  </si>
  <si>
    <t>Clients hiện tại</t>
  </si>
  <si>
    <t>Mixed-version window được ghi nhận</t>
  </si>
  <si>
    <t>Không có incompatibility chưa xử lý</t>
  </si>
  <si>
    <t>H2-03</t>
  </si>
  <si>
    <t>Functional + integrity post H2</t>
  </si>
  <si>
    <t>100% daemon Quincy target</t>
  </si>
  <si>
    <t>H2-04</t>
  </si>
  <si>
    <t>Soak H2</t>
  </si>
  <si>
    <t>Health/KPI ổn định 24h</t>
  </si>
  <si>
    <t>24h</t>
  </si>
  <si>
    <t>H3-01</t>
  </si>
  <si>
    <t>Rolling Quincy→Reef dưới IO</t>
  </si>
  <si>
    <t>H2 Exit PASS + Pre-H3 GO</t>
  </si>
  <si>
    <t>H3-02</t>
  </si>
  <si>
    <t>Full functional + integrity</t>
  </si>
  <si>
    <t>100% daemon Reef target</t>
  </si>
  <si>
    <t>4–6h</t>
  </si>
  <si>
    <t>H3-03</t>
  </si>
  <si>
    <t>So sánh baseline với Reef trên dashboard</t>
  </si>
  <si>
    <t>All profiles</t>
  </si>
  <si>
    <t>Cùng dataset/profile/IO Sentinel/monitoring</t>
  </si>
  <si>
    <t>Regression trong ngưỡng đã duyệt</t>
  </si>
  <si>
    <t>H3-04</t>
  </si>
  <si>
    <t>Final target soak</t>
  </si>
  <si>
    <t>Health/KPI ổn định 48–72h</t>
  </si>
  <si>
    <t>48–72h</t>
  </si>
  <si>
    <t>F-01</t>
  </si>
  <si>
    <t>Target Reef</t>
  </si>
  <si>
    <t>Fault</t>
  </si>
  <si>
    <t>OSD daemon/disk logical failure</t>
  </si>
  <si>
    <t>Steady IO</t>
  </si>
  <si>
    <t>Fault injection được phê duyệt trong Lab</t>
  </si>
  <si>
    <t>No data loss; recovery hoàn tất</t>
  </si>
  <si>
    <t>F-02</t>
  </si>
  <si>
    <t>Failure</t>
  </si>
  <si>
    <t>Một host Lab mất</t>
  </si>
  <si>
    <t>Failure domain và quorum hợp lệ</t>
  </si>
  <si>
    <t>Service trong threshold; recovery hoàn tất</t>
  </si>
  <si>
    <t>F-03</t>
  </si>
  <si>
    <t>MON/MGR failover</t>
  </si>
  <si>
    <t>Đủ quorum/standby</t>
  </si>
  <si>
    <t>Control-plane phục hồi, data I/O duy trì</t>
  </si>
  <si>
    <t>1–2h</t>
  </si>
  <si>
    <t>F-04</t>
  </si>
  <si>
    <t>RGW instance failure</t>
  </si>
  <si>
    <t>S3 continuous probes</t>
  </si>
  <si>
    <t>Có nhiều RGW/endpoint HA nếu Production dùng</t>
  </si>
  <si>
    <t>S3 trong threshold; instance thay thế hoạt động</t>
  </si>
  <si>
    <t>F-05</t>
  </si>
  <si>
    <t>Recovery/backfill dưới workload</t>
  </si>
  <si>
    <t>OSD/host fault đã tạo</t>
  </si>
  <si>
    <t>Đo được impact; không PG stuck</t>
  </si>
  <si>
    <t>2–6h</t>
  </si>
  <si>
    <t>R-01</t>
  </si>
  <si>
    <t>Any hop</t>
  </si>
  <si>
    <t>Pause/stop/resume + end-to-end rehearsal</t>
  </si>
  <si>
    <t>Lỗi kiểm soát trong Lab; kỹ sư thứ hai chạy theo runbook</t>
  </si>
  <si>
    <t>Đúng trigger; resume/fix-forward thành công; quy trình tái lập độc lập</t>
  </si>
  <si>
    <t>B-01</t>
  </si>
  <si>
    <t>Before hops</t>
  </si>
  <si>
    <t>Backup control-plane/config</t>
  </si>
  <si>
    <t>Backup Runbook v0.1</t>
  </si>
  <si>
    <t>Artifacts có checksum và timestamp</t>
  </si>
  <si>
    <t>B-02</t>
  </si>
  <si>
    <t>Restore</t>
  </si>
  <si>
    <t>Restore mẫu dữ liệu/dịch vụ</t>
  </si>
  <si>
    <t>Sample RGW/RBD/CephFS</t>
  </si>
  <si>
    <t>Backup gần nhất có thể truy cập</t>
  </si>
  <si>
    <t>Restore + checksum/functional PASS</t>
  </si>
  <si>
    <t>Concurrency/rate/read-write ratio lấy từ As-Is; IO Sentinel phải chạy liên tục từ baseline đến hết rehearsal</t>
  </si>
  <si>
    <t>WL-01</t>
  </si>
  <si>
    <t>RGW</t>
  </si>
  <si>
    <t>Small-object metadata-heavy</t>
  </si>
  <si>
    <t>4 KiB–1 MiB</t>
  </si>
  <si>
    <t>Theo As-Is; TBD</t>
  </si>
  <si>
    <t>T-15m đến T+60m mỗi hop</t>
  </si>
  <si>
    <t>Ops/s, 4xx/5xx, p95/p99 latency, checksum</t>
  </si>
  <si>
    <t>Thay tỷ lệ giả định bằng profile Production ở W1</t>
  </si>
  <si>
    <t>WL-02</t>
  </si>
  <si>
    <t>Mixed object workload</t>
  </si>
  <si>
    <t>1–64 MiB</t>
  </si>
  <si>
    <t>PUT/GET/DELETE</t>
  </si>
  <si>
    <t>Baseline + suốt upgrade + soak</t>
  </si>
  <si>
    <t>Throughput, error rate, latency, object count/checksum</t>
  </si>
  <si>
    <t>Áp dụng IAM/Lifecycle/Versioning/Object Lock nếu có</t>
  </si>
  <si>
    <t>WL-03</t>
  </si>
  <si>
    <t>RBD</t>
  </si>
  <si>
    <t>Random block IO</t>
  </si>
  <si>
    <t>4/16/64 KiB</t>
  </si>
  <si>
    <t>randrw</t>
  </si>
  <si>
    <t>Read/write ratio theo As-Is</t>
  </si>
  <si>
    <t>Baseline + suốt upgrade</t>
  </si>
  <si>
    <t>IOPS, bandwidth, await, p95/p99, IO errors</t>
  </si>
  <si>
    <t>Dùng volume test riêng; quiesce nếu test app-consistent snapshot</t>
  </si>
  <si>
    <t>WL-04</t>
  </si>
  <si>
    <t>Sequential block IO</t>
  </si>
  <si>
    <t>1 MiB</t>
  </si>
  <si>
    <t>read/write</t>
  </si>
  <si>
    <t>Baseline và post-hop</t>
  </si>
  <si>
    <t>Throughput, latency, IO errors, checksum</t>
  </si>
  <si>
    <t>Không chạy quá tải làm sai lệch recovery test</t>
  </si>
  <si>
    <t>WL-05</t>
  </si>
  <si>
    <t>CephFS</t>
  </si>
  <si>
    <t>Data path</t>
  </si>
  <si>
    <t>IOPS, bandwidth, latency, errors</t>
  </si>
  <si>
    <t>N/A nếu Production không dùng CephFS</t>
  </si>
  <si>
    <t>WL-06</t>
  </si>
  <si>
    <t>Metadata path</t>
  </si>
  <si>
    <t>Small files</t>
  </si>
  <si>
    <t>create/stat/rename/delete</t>
  </si>
  <si>
    <t>Baseline + post-hop</t>
  </si>
  <si>
    <t>Ops/s, latency, namespace integrity</t>
  </si>
  <si>
    <t>Theo dõi MDS state và client reconnect</t>
  </si>
  <si>
    <t>WL-07</t>
  </si>
  <si>
    <t>Mixed</t>
  </si>
  <si>
    <t>Continuous IO Sentinel / steady service workload</t>
  </si>
  <si>
    <t>Kết hợp WL-01…06</t>
  </si>
  <si>
    <t>Continuous + heartbeat</t>
  </si>
  <si>
    <t>Giữ tải ổn định</t>
  </si>
  <si>
    <t>Baseline + toàn bộ hop + soak + rehearsal</t>
  </si>
  <si>
    <t>Availability, error-gap duration, p95/p99, host/OSD metrics, timestamp continuity</t>
  </si>
  <si>
    <t>Nguồn chính để đo minimal downtime và phát hiện khoảng gián đoạn</t>
  </si>
  <si>
    <t>WL-08</t>
  </si>
  <si>
    <t>Recovery workload</t>
  </si>
  <si>
    <t>Kết hợp steady + fault</t>
  </si>
  <si>
    <t>Continuous</t>
  </si>
  <si>
    <t>Tải bằng steady state đã chốt</t>
  </si>
  <si>
    <t>Trong recovery/backfill</t>
  </si>
  <si>
    <t>Client impact, recovery ETA, PG state, latency</t>
  </si>
  <si>
    <t>Chỉ dùng trong Lab với fault injection đã phê duyệt</t>
  </si>
  <si>
    <t>Quy tắc nền: 0 BLOCK, 0 UNKNOWN critical, evidence hợp lệ/đủ timestamp và đúng người phê duyệt; N/A phải có lý do</t>
  </si>
  <si>
    <t>Cuối W1</t>
  </si>
  <si>
    <t>As-Is complete</t>
  </si>
  <si>
    <t>As-Is fields critical có evidence; blocker/UNKNOWN có owner; workload và service scope đã chốt</t>
  </si>
  <si>
    <t>As-Is report + evidence index</t>
  </si>
  <si>
    <t>Chưa đánh giá</t>
  </si>
  <si>
    <t>Không qua G0 thì chưa chọn target</t>
  </si>
  <si>
    <t>Cuối W3</t>
  </si>
  <si>
    <t>Target/Hops approved</t>
  </si>
  <si>
    <t>Đường được hỗ trợ; compatibility H1/H2/H3 hoàn tất; target đã revalidate; 0 UNKNOWN critical chưa có treatment</t>
  </si>
  <si>
    <t>Decision Record + matrices</t>
  </si>
  <si>
    <t>Chỉ G1 mới khóa target cho Lab</t>
  </si>
  <si>
    <t>Cuối W4</t>
  </si>
  <si>
    <t>Design documents ready</t>
  </si>
  <si>
    <t>Runbook/checklist/backup/rollback/test plan v0.1 có owner và expected evidence</t>
  </si>
  <si>
    <t>Document register</t>
  </si>
  <si>
    <t>Bắt buộc trước dry-run</t>
  </si>
  <si>
    <t>Cuối W6</t>
  </si>
  <si>
    <t>Lab ready</t>
  </si>
  <si>
    <t>Lab base/services/workload; Equivalence Matrix; Evidence Collector; IO Sentinel; backup/restore và dry-run PASS</t>
  </si>
  <si>
    <t>Cho phép bắt đầu H1</t>
  </si>
  <si>
    <t>W7 trước H1</t>
  </si>
  <si>
    <t>Pre-H1 GO</t>
  </si>
  <si>
    <t>Health/capacity/quorum/OSD/PG/artifact/backup/checklist H1 PASS</t>
  </si>
  <si>
    <t>Pre-H1 evidence</t>
  </si>
  <si>
    <t>Nếu BLOCK: không chạy H1</t>
  </si>
  <si>
    <t>W7 sau H1</t>
  </si>
  <si>
    <t>Exit H1</t>
  </si>
  <si>
    <t>100% daemon target H1; functional/integrity/KPI/soak PASS; không crash/blocker</t>
  </si>
  <si>
    <t>H1 Exit Checklist</t>
  </si>
  <si>
    <t>Cho phép H2</t>
  </si>
  <si>
    <t>W8 trước H2</t>
  </si>
  <si>
    <t>Pre-H2 GO</t>
  </si>
  <si>
    <t>H1 exit PASS; backup mới; compatibility H2 và client/backend readiness PASS</t>
  </si>
  <si>
    <t>Pre-H2 evidence</t>
  </si>
  <si>
    <t>Nếu BLOCK: giữ cluster tại 16.2.15</t>
  </si>
  <si>
    <t>W8 sau H2</t>
  </si>
  <si>
    <t>Exit H2</t>
  </si>
  <si>
    <t>100% daemon Quincy; functional/integrity/KPI/24h soak PASS</t>
  </si>
  <si>
    <t>H2 Exit Checklist</t>
  </si>
  <si>
    <t>Cho phép H3</t>
  </si>
  <si>
    <t>W9 trước H3</t>
  </si>
  <si>
    <t>Pre-H3 GO</t>
  </si>
  <si>
    <t>H2 exit PASS; backup mới; compatibility H3/service/client readiness PASS</t>
  </si>
  <si>
    <t>Pre-H3 evidence</t>
  </si>
  <si>
    <t>Nếu BLOCK: giữ tại Quincy và remediation</t>
  </si>
  <si>
    <t>Cuối W9</t>
  </si>
  <si>
    <t>Exit H3</t>
  </si>
  <si>
    <t>100% daemon Reef; full regression/integrity/KPI/48–72h soak PASS</t>
  </si>
  <si>
    <t>H3 Exit Checklist</t>
  </si>
  <si>
    <t>Cho phép fault suite/final assessment</t>
  </si>
  <si>
    <t>Cuối W10</t>
  </si>
  <si>
    <t>Lab final decision</t>
  </si>
  <si>
    <t>Fault/failure, restore, pause/resume, post-fault soak và end-to-end rehearsal PASS; residual risk có owner</t>
  </si>
  <si>
    <t>Lab Test/Rehearsal Report + traceability</t>
  </si>
  <si>
    <t>30/10/2026</t>
  </si>
  <si>
    <t>Final acceptance</t>
  </si>
  <si>
    <t>Đủ report, matrix, runbook v1.0, plans, checklist pack, traceability, evidence và peer review</t>
  </si>
  <si>
    <t>Final package index</t>
  </si>
  <si>
    <t>Kết thúc đề tài</t>
  </si>
  <si>
    <t>R01</t>
  </si>
  <si>
    <t>Deployment mode/mixed management chưa rõ</t>
  </si>
  <si>
    <t>Khảo sát managed scope; BLOCK nếu daemon không có cơ chế nâng cụ thể</t>
  </si>
  <si>
    <t>Open</t>
  </si>
  <si>
    <t>R02</t>
  </si>
  <si>
    <t>OS/kernel/container/repository không hỗ trợ target</t>
  </si>
  <si>
    <t>Host cohort matrix; test pull/install trên mọi cohort; chốt target theo compatibility</t>
  </si>
  <si>
    <t>W1–W2</t>
  </si>
  <si>
    <t>R03</t>
  </si>
  <si>
    <t>Còn FileStore/backend không phù hợp major hop</t>
  </si>
  <si>
    <t>Xác minh 100% objectstore; remediation trước H2</t>
  </si>
  <si>
    <t>R04</t>
  </si>
  <si>
    <t>Client RGW/RBD/CephFS không tương thích</t>
  </si>
  <si>
    <t>Client inventory + compatibility + regression suite trong mixed-version window</t>
  </si>
  <si>
    <t>W1–W9</t>
  </si>
  <si>
    <t>R05</t>
  </si>
  <si>
    <t>Dung lượng/recovery headroom không đủ</t>
  </si>
  <si>
    <t>Capacity analysis, failure-domain simulation và gate trước mỗi hop</t>
  </si>
  <si>
    <t>R06</t>
  </si>
  <si>
    <t>Backup tồn tại nhưng không restore được</t>
  </si>
  <si>
    <t>Off-cluster copy, checksum và restore sample trong W6/W10</t>
  </si>
  <si>
    <t>W4–W10</t>
  </si>
  <si>
    <t>R07</t>
  </si>
  <si>
    <t>Hiểu rollback là downgrade in-place</t>
  </si>
  <si>
    <t>Rollback/Fix-forward Plan; stop/pause/recovery trigger; Lab validation</t>
  </si>
  <si>
    <t>R08</t>
  </si>
  <si>
    <t>Lab không đại diện workload Production</t>
  </si>
  <si>
    <t>Lab–Production Equivalence Matrix; ghi gap/impact/control; profile từ As-Is</t>
  </si>
  <si>
    <t>W1–W6</t>
  </si>
  <si>
    <t>R09</t>
  </si>
  <si>
    <t>Monitoring/collector thiếu hoặc lệch timestamp nên không đo được minimal downtime</t>
  </si>
  <si>
    <t>Dashboard, NTP/clock check, collector smoke test và IO Sentinel heartbeat trước baseline</t>
  </si>
  <si>
    <t>W5–W9</t>
  </si>
  <si>
    <t>R10</t>
  </si>
  <si>
    <t>Target patch/lifecycle hoặc đường hỗ trợ thay đổi sau khi chốt</t>
  </si>
  <si>
    <t>Revalidate nguồn chính thức tại G1, trước G3 và trước H1; cập nhật Decision Record</t>
  </si>
  <si>
    <t>W2–W7</t>
  </si>
  <si>
    <t>R11</t>
  </si>
  <si>
    <t>Fault test gây nhiễu final soak</t>
  </si>
  <si>
    <t>Chỉ fault sau post-check; bắt đầu post-fault soak mới trước final gate</t>
  </si>
  <si>
    <t>R12</t>
  </si>
  <si>
    <t>Thay đổi config/default bị bật đồng thời với upgrade</t>
  </si>
  <si>
    <t>Tách feature enablement khỏi version upgrade trừ khi bắt buộc; ghi decision record</t>
  </si>
  <si>
    <t>W7–W9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</si>
</sst>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dd"/>
    <numFmt numFmtId="166" formatCode="mm\-dd"/>
  </numFmts>
  <fonts count="20">
    <font>
      <sz val="11"/>
      <name val="Carlito"/>
    </font>
    <font>
      <b/>
      <sz val="20"/>
      <color rgb="FFFFFFFF"/>
      <name val="Aptos Display"/>
    </font>
    <font>
      <i/>
      <sz val="10"/>
      <color rgb="FF374151"/>
      <name val="Aptos"/>
    </font>
    <font>
      <b/>
      <sz val="10"/>
      <color rgb="FFFFFFFF"/>
      <name val="Carlito"/>
    </font>
    <font>
      <b/>
      <sz val="20"/>
      <color rgb="FF17365D"/>
      <name val="Carlito"/>
    </font>
    <font>
      <b/>
      <sz val="11"/>
      <color rgb="FFFFFFFF"/>
      <name val="Carlito"/>
    </font>
    <font>
      <b/>
      <sz val="11"/>
      <color rgb="FF17365D"/>
      <name val="Carlito"/>
    </font>
    <font>
      <b/>
      <sz val="10"/>
      <color rgb="FFFFFFFF"/>
      <name val="Aptos"/>
    </font>
    <font>
      <sz val="9"/>
      <color rgb="FF111827"/>
      <name val="Carlito"/>
    </font>
    <font>
      <sz val="9"/>
      <color rgb="FF111827"/>
      <name val="Aptos"/>
    </font>
    <font>
      <b/>
      <sz val="9"/>
      <color rgb="FFFFFFFF"/>
      <name val="Carlito"/>
    </font>
    <font>
      <b/>
      <sz val="20"/>
      <color rgb="FFFFFFFF"/>
      <name val="Aptos"/>
    </font>
    <font>
      <sz val="11"/>
      <name val="Aptos"/>
    </font>
    <font>
      <b/>
      <sz val="22"/>
      <color rgb="FFFFFFFF"/>
      <name val="Aptos Display"/>
    </font>
    <font>
      <b/>
      <sz val="22"/>
      <color rgb="FFFFFFFF"/>
      <name val="Carlito"/>
    </font>
    <font>
      <i/>
      <sz val="10"/>
      <color rgb="FF334155"/>
      <name val="Aptos"/>
    </font>
    <font>
      <i/>
      <sz val="10"/>
      <color rgb="FF334155"/>
      <name val="Carlito"/>
    </font>
    <font>
      <b/>
      <sz val="9"/>
      <color rgb="FF334155"/>
      <name val="Carlito"/>
    </font>
    <font>
      <b/>
      <sz val="9"/>
      <color rgb="FF2563EB"/>
      <name val="Aptos"/>
    </font>
    <font>
      <b/>
      <sz val="9"/>
      <color rgb="FF2563EB"/>
      <name val="Carlito"/>
    </font>
  </fonts>
  <fills count="1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8EEF6"/>
      </patternFill>
    </fill>
    <fill>
      <patternFill patternType="solid">
        <fgColor rgb="FF0F766E"/>
      </patternFill>
    </fill>
    <fill>
      <patternFill patternType="solid">
        <fgColor rgb="FFDDF3F0"/>
      </patternFill>
    </fill>
    <fill>
      <patternFill patternType="solid">
        <fgColor rgb="FF244A74"/>
      </patternFill>
    </fill>
    <fill>
      <patternFill patternType="solid">
        <fgColor rgb="FFF3F4F6"/>
      </patternFill>
    </fill>
    <fill>
      <patternFill patternType="solid">
        <fgColor rgb="FF6D28D9"/>
      </patternFill>
    </fill>
    <fill>
      <patternFill patternType="solid">
        <fgColor rgb="FFFFFFFF"/>
      </patternFill>
    </fill>
    <fill>
      <patternFill patternType="solid">
        <fgColor rgb="FFFFF7D6"/>
      </patternFill>
    </fill>
    <fill>
      <patternFill patternType="solid">
        <fgColor rgb="FF1E3F68"/>
      </patternFill>
    </fill>
    <fill>
      <patternFill patternType="solid">
        <fgColor rgb="FFE8EEF6"/>
      </patternFill>
    </fill>
    <fill>
      <patternFill patternType="solid">
        <fgColor rgb="FF138477"/>
      </patternFill>
    </fill>
    <fill>
      <patternFill patternType="solid">
        <fgColor rgb="FFF1F5F9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99D5CD"/>
      </left>
      <right/>
      <top style="thin">
        <color rgb="FF99D5CD"/>
      </top>
      <bottom/>
      <diagonal/>
    </border>
    <border>
      <left/>
      <right/>
      <top style="thin">
        <color rgb="FF99D5CD"/>
      </top>
      <bottom/>
      <diagonal/>
    </border>
    <border>
      <left/>
      <right style="thin">
        <color rgb="FF99D5CD"/>
      </right>
      <top style="thin">
        <color rgb="FF99D5CD"/>
      </top>
      <bottom/>
      <diagonal/>
    </border>
    <border>
      <left style="thin">
        <color rgb="FF99D5CD"/>
      </left>
      <right/>
      <top/>
      <bottom/>
      <diagonal/>
    </border>
    <border>
      <left/>
      <right style="thin">
        <color rgb="FF99D5CD"/>
      </right>
      <top/>
      <bottom/>
      <diagonal/>
    </border>
    <border>
      <left style="thin">
        <color rgb="FF99D5CD"/>
      </left>
      <right/>
      <top/>
      <bottom style="thin">
        <color rgb="FF99D5CD"/>
      </bottom>
      <diagonal/>
    </border>
    <border>
      <left/>
      <right/>
      <top/>
      <bottom style="thin">
        <color rgb="FF99D5CD"/>
      </bottom>
      <diagonal/>
    </border>
    <border>
      <left/>
      <right style="thin">
        <color rgb="FF99D5CD"/>
      </right>
      <top/>
      <bottom style="thin">
        <color rgb="FF99D5CD"/>
      </bottom>
      <diagonal/>
    </border>
    <border>
      <left style="thin">
        <color rgb="FFC4B5FD"/>
      </left>
      <right style="thin">
        <color rgb="FFC4B5FD"/>
      </right>
      <top style="thin">
        <color rgb="FFC4B5FD"/>
      </top>
      <bottom style="thin">
        <color rgb="FFC4B5FD"/>
      </bottom>
      <diagonal/>
    </border>
    <border>
      <left/>
      <right/>
      <top/>
      <bottom style="thin">
        <color rgb="FFE5E7EB"/>
      </bottom>
      <diagonal/>
    </border>
    <border>
      <left/>
      <right/>
      <top style="thin">
        <color rgb="FFE5E7EB"/>
      </top>
      <bottom style="thin">
        <color rgb="FFE5E7EB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6" fillId="7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7" fillId="8" borderId="9" xfId="0" applyFont="1" applyFill="1" applyBorder="1" applyAlignment="1">
      <alignment horizontal="center" vertical="center" wrapText="1"/>
    </xf>
    <xf numFmtId="0" fontId="8" fillId="9" borderId="10" xfId="0" applyFont="1" applyFill="1" applyBorder="1" applyAlignment="1">
      <alignment vertical="center" wrapText="1"/>
    </xf>
    <xf numFmtId="0" fontId="8" fillId="7" borderId="10" xfId="0" applyFont="1" applyFill="1" applyBorder="1" applyAlignment="1">
      <alignment vertical="center" wrapText="1"/>
    </xf>
    <xf numFmtId="0" fontId="9" fillId="0" borderId="10" xfId="0" applyFont="1" applyBorder="1" applyAlignment="1">
      <alignment vertical="top" wrapText="1"/>
    </xf>
    <xf numFmtId="0" fontId="9" fillId="0" borderId="11" xfId="0" applyFont="1" applyBorder="1" applyAlignment="1">
      <alignment vertical="top" wrapText="1"/>
    </xf>
    <xf numFmtId="164" fontId="9" fillId="0" borderId="10" xfId="0" applyNumberFormat="1" applyFont="1" applyBorder="1" applyAlignment="1">
      <alignment vertical="top" wrapText="1"/>
    </xf>
    <xf numFmtId="164" fontId="9" fillId="0" borderId="11" xfId="0" applyNumberFormat="1" applyFont="1" applyBorder="1" applyAlignment="1">
      <alignment vertical="top" wrapText="1"/>
    </xf>
    <xf numFmtId="49" fontId="9" fillId="0" borderId="10" xfId="0" applyNumberFormat="1" applyFont="1" applyBorder="1" applyAlignment="1">
      <alignment vertical="top" wrapText="1"/>
    </xf>
    <xf numFmtId="49" fontId="9" fillId="0" borderId="11" xfId="0" applyNumberFormat="1" applyFont="1" applyBorder="1" applyAlignment="1">
      <alignment vertical="top" wrapText="1"/>
    </xf>
    <xf numFmtId="0" fontId="9" fillId="10" borderId="10" xfId="0" applyFont="1" applyFill="1" applyBorder="1" applyAlignment="1">
      <alignment vertical="top" wrapText="1"/>
    </xf>
    <xf numFmtId="0" fontId="9" fillId="10" borderId="11" xfId="0" applyFont="1" applyFill="1" applyBorder="1" applyAlignment="1">
      <alignment vertical="top" wrapText="1"/>
    </xf>
    <xf numFmtId="166" fontId="9" fillId="0" borderId="10" xfId="0" applyNumberFormat="1" applyFont="1" applyBorder="1" applyAlignment="1">
      <alignment vertical="top" wrapText="1"/>
    </xf>
    <xf numFmtId="166" fontId="9" fillId="0" borderId="11" xfId="0" applyNumberFormat="1" applyFont="1" applyBorder="1" applyAlignment="1">
      <alignment vertical="top" wrapText="1"/>
    </xf>
    <xf numFmtId="0" fontId="12" fillId="0" borderId="0" xfId="0" applyFont="1"/>
    <xf numFmtId="165" fontId="17" fillId="14" borderId="12" xfId="0" applyNumberFormat="1" applyFont="1" applyFill="1" applyBorder="1" applyAlignment="1">
      <alignment horizontal="center" vertical="center"/>
    </xf>
    <xf numFmtId="0" fontId="18" fillId="15" borderId="12" xfId="0" applyFont="1" applyFill="1" applyBorder="1" applyAlignment="1">
      <alignment horizontal="center" vertical="center" wrapText="1"/>
    </xf>
    <xf numFmtId="0" fontId="19" fillId="15" borderId="12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vertical="center" wrapText="1"/>
    </xf>
    <xf numFmtId="0" fontId="8" fillId="7" borderId="10" xfId="0" applyFont="1" applyFill="1" applyBorder="1" applyAlignment="1">
      <alignment vertical="center" wrapText="1"/>
    </xf>
    <xf numFmtId="0" fontId="5" fillId="6" borderId="0" xfId="0" applyFont="1" applyFill="1"/>
    <xf numFmtId="0" fontId="7" fillId="8" borderId="9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  <xf numFmtId="0" fontId="3" fillId="4" borderId="0" xfId="0" applyFont="1" applyFill="1" applyAlignment="1">
      <alignment horizontal="center" vertical="center"/>
    </xf>
    <xf numFmtId="1" fontId="4" fillId="5" borderId="1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/>
    </xf>
    <xf numFmtId="9" fontId="4" fillId="5" borderId="1" xfId="0" applyNumberFormat="1" applyFont="1" applyFill="1" applyBorder="1" applyAlignment="1">
      <alignment horizontal="center" vertical="center"/>
    </xf>
    <xf numFmtId="0" fontId="11" fillId="2" borderId="0" xfId="0" applyFont="1" applyFill="1" applyAlignment="1">
      <alignment horizontal="left" vertical="center"/>
    </xf>
    <xf numFmtId="0" fontId="10" fillId="6" borderId="0" xfId="0" applyFont="1" applyFill="1" applyAlignment="1">
      <alignment horizontal="center" vertical="center" wrapText="1"/>
    </xf>
    <xf numFmtId="0" fontId="13" fillId="11" borderId="0" xfId="0" applyFont="1" applyFill="1" applyAlignment="1">
      <alignment horizontal="left" vertical="center"/>
    </xf>
    <xf numFmtId="0" fontId="14" fillId="11" borderId="0" xfId="0" applyFont="1" applyFill="1" applyAlignment="1">
      <alignment vertical="center"/>
    </xf>
    <xf numFmtId="0" fontId="15" fillId="12" borderId="0" xfId="0" applyFont="1" applyFill="1" applyAlignment="1">
      <alignment vertical="center"/>
    </xf>
    <xf numFmtId="0" fontId="16" fillId="12" borderId="0" xfId="0" applyFont="1" applyFill="1" applyAlignment="1">
      <alignment vertical="center"/>
    </xf>
    <xf numFmtId="0" fontId="3" fillId="11" borderId="0" xfId="0" applyFont="1" applyFill="1" applyAlignment="1">
      <alignment horizontal="center" vertical="center"/>
    </xf>
    <xf numFmtId="0" fontId="3" fillId="1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KeHoach" displayName="tblKeHoach" ref="A5:M87" totalsRowShown="0">
  <tableColumns count="13">
    <tableColumn id="1" xr3:uid="{00000000-0010-0000-0000-000001000000}" name="WBS"/>
    <tableColumn id="2" xr3:uid="{00000000-0010-0000-0000-000002000000}" name="Giai đoạn"/>
    <tableColumn id="3" xr3:uid="{00000000-0010-0000-0000-000003000000}" name="Tuần"/>
    <tableColumn id="4" xr3:uid="{00000000-0010-0000-0000-000004000000}" name="Công việc"/>
    <tableColumn id="5" xr3:uid="{00000000-0010-0000-0000-000005000000}" name="Chi tiết thực hiện"/>
    <tableColumn id="6" xr3:uid="{00000000-0010-0000-0000-000006000000}" name="Phụ thuộc"/>
    <tableColumn id="7" xr3:uid="{00000000-0010-0000-0000-000007000000}" name="Bắt đầu"/>
    <tableColumn id="8" xr3:uid="{00000000-0010-0000-0000-000008000000}" name="Kết thúc"/>
    <tableColumn id="11" xr3:uid="{00000000-0010-0000-0000-00000B000000}" name="Đầu ra / Evidence"/>
    <tableColumn id="12" xr3:uid="{00000000-0010-0000-0000-00000C000000}" name="Gate"/>
    <tableColumn id="13" xr3:uid="{00000000-0010-0000-0000-00000D000000}" name="Ưu tiên"/>
    <tableColumn id="14" xr3:uid="{00000000-0010-0000-0000-00000E000000}" name="Trạng thái"/>
    <tableColumn id="16" xr3:uid="{00000000-0010-0000-0000-000010000000}" name="Ghi chú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Deliverables" displayName="tblDeliverables" ref="A5:J23" totalsRowShown="0">
  <tableColumns count="10">
    <tableColumn id="1" xr3:uid="{00000000-0010-0000-0100-000001000000}" name="ID"/>
    <tableColumn id="2" xr3:uid="{00000000-0010-0000-0100-000002000000}" name="Nhóm"/>
    <tableColumn id="3" xr3:uid="{00000000-0010-0000-0100-000003000000}" name="Tài liệu"/>
    <tableColumn id="4" xr3:uid="{00000000-0010-0000-0100-000004000000}" name="Mục đích"/>
    <tableColumn id="5" xr3:uid="{00000000-0010-0000-0100-000005000000}" name="Áp dụng"/>
    <tableColumn id="6" xr3:uid="{00000000-0010-0000-0100-000006000000}" name="Tạo bản nháp"/>
    <tableColumn id="7" xr3:uid="{00000000-0010-0000-0100-000007000000}" name="Xác minh/Cập nhật"/>
    <tableColumn id="8" xr3:uid="{00000000-0010-0000-0100-000008000000}" name="Bản cuối"/>
    <tableColumn id="10" xr3:uid="{00000000-0010-0000-0100-00000A000000}" name="Tiêu chí hoàn thành"/>
    <tableColumn id="11" xr3:uid="{00000000-0010-0000-0100-00000B000000}" name="Trạng thái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Checklist" displayName="tblChecklist" ref="A5:J26" totalsRowShown="0">
  <tableColumns count="10">
    <tableColumn id="1" xr3:uid="{00000000-0010-0000-0200-000001000000}" name="ID"/>
    <tableColumn id="2" xr3:uid="{00000000-0010-0000-0200-000002000000}" name="Nhóm"/>
    <tableColumn id="3" xr3:uid="{00000000-0010-0000-0200-000003000000}" name="Checklist"/>
    <tableColumn id="4" xr3:uid="{00000000-0010-0000-0200-000004000000}" name="Phạm vi"/>
    <tableColumn id="5" xr3:uid="{00000000-0010-0000-0200-000005000000}" name="Thời điểm dùng"/>
    <tableColumn id="6" xr3:uid="{00000000-0010-0000-0200-000006000000}" name="Mục đích/Nội dung chính"/>
    <tableColumn id="7" xr3:uid="{00000000-0010-0000-0200-000007000000}" name="Draft"/>
    <tableColumn id="8" xr3:uid="{00000000-0010-0000-0200-000008000000}" name="Finalize"/>
    <tableColumn id="10" xr3:uid="{00000000-0010-0000-0200-00000A000000}" name="Gate liên quan"/>
    <tableColumn id="11" xr3:uid="{00000000-0010-0000-0200-00000B000000}" name="Trạng thái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LabTests" displayName="tblLabTests" ref="A5:K32" totalsRowShown="0">
  <tableColumns count="11">
    <tableColumn id="1" xr3:uid="{00000000-0010-0000-0300-000001000000}" name="Test ID"/>
    <tableColumn id="2" xr3:uid="{00000000-0010-0000-0300-000002000000}" name="Hop/Giai đoạn"/>
    <tableColumn id="3" xr3:uid="{00000000-0010-0000-0300-000003000000}" name="Loại"/>
    <tableColumn id="4" xr3:uid="{00000000-0010-0000-0300-000004000000}" name="Kịch bản"/>
    <tableColumn id="5" xr3:uid="{00000000-0010-0000-0300-000005000000}" name="Workload"/>
    <tableColumn id="6" xr3:uid="{00000000-0010-0000-0300-000006000000}" name="Điều kiện trước"/>
    <tableColumn id="7" xr3:uid="{00000000-0010-0000-0300-000007000000}" name="Tiêu chí PASS"/>
    <tableColumn id="8" xr3:uid="{00000000-0010-0000-0300-000008000000}" name="Gate"/>
    <tableColumn id="9" xr3:uid="{00000000-0010-0000-0300-000009000000}" name="Thời lượng"/>
    <tableColumn id="11" xr3:uid="{00000000-0010-0000-0300-00000B000000}" name="Evidence"/>
    <tableColumn id="12" xr3:uid="{00000000-0010-0000-0300-00000C000000}" name="Trạng thái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Workload" displayName="tblWorkload" ref="A5:J13" totalsRowShown="0">
  <tableColumns count="10">
    <tableColumn id="1" xr3:uid="{00000000-0010-0000-0400-000001000000}" name="Profile"/>
    <tableColumn id="2" xr3:uid="{00000000-0010-0000-0400-000002000000}" name="Dịch vụ"/>
    <tableColumn id="3" xr3:uid="{00000000-0010-0000-0400-000003000000}" name="Mô tả"/>
    <tableColumn id="4" xr3:uid="{00000000-0010-0000-0400-000004000000}" name="Kích thước"/>
    <tableColumn id="5" xr3:uid="{00000000-0010-0000-0400-000005000000}" name="Operation"/>
    <tableColumn id="6" xr3:uid="{00000000-0010-0000-0400-000006000000}" name="Concurrency/Rate"/>
    <tableColumn id="7" xr3:uid="{00000000-0010-0000-0400-000007000000}" name="Thời gian chạy"/>
    <tableColumn id="8" xr3:uid="{00000000-0010-0000-0400-000008000000}" name="Metrics"/>
    <tableColumn id="9" xr3:uid="{00000000-0010-0000-0400-000009000000}" name="Quy tắc sử dụng"/>
    <tableColumn id="10" xr3:uid="{00000000-0010-0000-0400-00000A000000}" name="Trạng thái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Gates" displayName="tblGates" ref="A5:H17" totalsRowShown="0">
  <tableColumns count="8">
    <tableColumn id="1" xr3:uid="{00000000-0010-0000-0500-000001000000}" name="Gate"/>
    <tableColumn id="2" xr3:uid="{00000000-0010-0000-0500-000002000000}" name="Thời điểm"/>
    <tableColumn id="3" xr3:uid="{00000000-0010-0000-0500-000003000000}" name="Quyết định"/>
    <tableColumn id="4" xr3:uid="{00000000-0010-0000-0500-000004000000}" name="Điều kiện bắt buộc"/>
    <tableColumn id="5" xr3:uid="{00000000-0010-0000-0500-000005000000}" name="Evidence"/>
    <tableColumn id="7" xr3:uid="{00000000-0010-0000-0500-000007000000}" name="Trạng thái"/>
    <tableColumn id="8" xr3:uid="{00000000-0010-0000-0500-000008000000}" name="Hành động nếu không đạt"/>
    <tableColumn id="9" xr3:uid="{00000000-0010-0000-0500-000009000000}" name="Ghi chú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Risks" displayName="tblRisks" ref="A5:J17" totalsRowShown="0">
  <tableColumns count="10">
    <tableColumn id="1" xr3:uid="{00000000-0010-0000-0600-000001000000}" name="Risk ID"/>
    <tableColumn id="2" xr3:uid="{00000000-0010-0000-0600-000002000000}" name="Rủi ro"/>
    <tableColumn id="3" xr3:uid="{00000000-0010-0000-0600-000003000000}" name="Likelihood"/>
    <tableColumn id="4" xr3:uid="{00000000-0010-0000-0600-000004000000}" name="Impact"/>
    <tableColumn id="5" xr3:uid="{00000000-0010-0000-0600-000005000000}" name="Score"/>
    <tableColumn id="6" xr3:uid="{00000000-0010-0000-0600-000006000000}" name="Rating"/>
    <tableColumn id="7" xr3:uid="{00000000-0010-0000-0600-000007000000}" name="Mitigation/Control"/>
    <tableColumn id="8" xr3:uid="{00000000-0010-0000-0600-000008000000}" name="Thời điểm"/>
    <tableColumn id="10" xr3:uid="{00000000-0010-0000-0600-00000A000000}" name="Trạng thái"/>
    <tableColumn id="11" xr3:uid="{00000000-0010-0000-0600-00000B000000}" name="Residual risk/Ghi chú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showGridLines="0" workbookViewId="0"/>
  </sheetViews>
  <sheetFormatPr defaultRowHeight="13.7"/>
  <cols>
    <col min="1" max="4" width="15" customWidth="1"/>
    <col min="5" max="5" width="3" customWidth="1"/>
    <col min="6" max="6" width="16" customWidth="1"/>
    <col min="7" max="8" width="15" customWidth="1"/>
    <col min="9" max="9" width="3" customWidth="1"/>
    <col min="10" max="10" width="18" customWidth="1"/>
    <col min="11" max="13" width="15" customWidth="1"/>
    <col min="14" max="14" width="20" customWidth="1"/>
  </cols>
  <sheetData>
    <row r="1" spans="1:14" ht="24" customHeight="1">
      <c r="A1" s="36" t="s">
        <v>92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</row>
    <row r="2" spans="1:14" ht="24" customHeight="1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</row>
    <row r="3" spans="1:14" ht="22" customHeight="1">
      <c r="A3" s="37" t="s">
        <v>0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</row>
    <row r="5" spans="1:14">
      <c r="A5" s="26" t="s">
        <v>1</v>
      </c>
      <c r="B5" s="26"/>
      <c r="C5" s="26"/>
      <c r="D5" s="26"/>
      <c r="F5" s="26" t="s">
        <v>2</v>
      </c>
      <c r="G5" s="26"/>
      <c r="H5" s="26"/>
      <c r="J5" s="26" t="s">
        <v>3</v>
      </c>
      <c r="K5" s="26"/>
      <c r="L5" s="26"/>
    </row>
    <row r="6" spans="1:14">
      <c r="A6" s="27">
        <f>COUNTA('01_KeHoach'!A6:A120)</f>
        <v>82</v>
      </c>
      <c r="B6" s="28"/>
      <c r="C6" s="28"/>
      <c r="D6" s="29"/>
      <c r="F6" s="27">
        <f>COUNTIF('01_KeHoach'!L6:L120,"Hoàn thành")</f>
        <v>0</v>
      </c>
      <c r="G6" s="28"/>
      <c r="H6" s="29"/>
      <c r="J6" s="38">
        <f>IFERROR(F6/B6,0)</f>
        <v>0</v>
      </c>
      <c r="K6" s="28"/>
      <c r="L6" s="29"/>
    </row>
    <row r="7" spans="1:14">
      <c r="A7" s="30"/>
      <c r="B7" s="31"/>
      <c r="C7" s="31"/>
      <c r="D7" s="32"/>
      <c r="F7" s="30"/>
      <c r="G7" s="31"/>
      <c r="H7" s="32"/>
      <c r="J7" s="30"/>
      <c r="K7" s="31"/>
      <c r="L7" s="32"/>
    </row>
    <row r="8" spans="1:14">
      <c r="A8" s="33"/>
      <c r="B8" s="34"/>
      <c r="C8" s="34"/>
      <c r="D8" s="35"/>
      <c r="F8" s="33"/>
      <c r="G8" s="34"/>
      <c r="H8" s="35"/>
      <c r="J8" s="33"/>
      <c r="K8" s="34"/>
      <c r="L8" s="35"/>
    </row>
    <row r="10" spans="1:14">
      <c r="A10" s="26" t="s">
        <v>4</v>
      </c>
      <c r="B10" s="26"/>
      <c r="C10" s="26"/>
      <c r="D10" s="26"/>
      <c r="F10" s="26" t="s">
        <v>5</v>
      </c>
      <c r="G10" s="26"/>
      <c r="H10" s="26"/>
      <c r="J10" s="26" t="s">
        <v>6</v>
      </c>
      <c r="K10" s="26"/>
      <c r="L10" s="26"/>
    </row>
    <row r="11" spans="1:14">
      <c r="A11" s="27">
        <f>COUNTA('03_DanhMucTaiLieu'!A6:A100)</f>
        <v>18</v>
      </c>
      <c r="B11" s="28"/>
      <c r="C11" s="28"/>
      <c r="D11" s="29"/>
      <c r="F11" s="27">
        <f>COUNTA('04_DanhMucChecklist'!A6:A100)</f>
        <v>21</v>
      </c>
      <c r="G11" s="28"/>
      <c r="H11" s="29"/>
      <c r="J11" s="27">
        <f>COUNTA('05_LabTest'!A6:A100)</f>
        <v>27</v>
      </c>
      <c r="K11" s="28"/>
      <c r="L11" s="29"/>
    </row>
    <row r="12" spans="1:14">
      <c r="A12" s="30"/>
      <c r="B12" s="31"/>
      <c r="C12" s="31"/>
      <c r="D12" s="32"/>
      <c r="F12" s="30"/>
      <c r="G12" s="31"/>
      <c r="H12" s="32"/>
      <c r="J12" s="30"/>
      <c r="K12" s="31"/>
      <c r="L12" s="32"/>
    </row>
    <row r="13" spans="1:14">
      <c r="A13" s="33"/>
      <c r="B13" s="34"/>
      <c r="C13" s="34"/>
      <c r="D13" s="35"/>
      <c r="F13" s="33"/>
      <c r="G13" s="34"/>
      <c r="H13" s="35"/>
      <c r="J13" s="33"/>
      <c r="K13" s="34"/>
      <c r="L13" s="35"/>
    </row>
    <row r="15" spans="1:14">
      <c r="A15" s="22" t="s">
        <v>7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</row>
    <row r="16" spans="1:14" ht="42" customHeight="1">
      <c r="A16" s="1" t="s">
        <v>8</v>
      </c>
      <c r="B16" s="25">
        <v>46258</v>
      </c>
      <c r="C16" s="25"/>
      <c r="D16" s="25"/>
      <c r="E16" s="2"/>
      <c r="F16" s="1" t="s">
        <v>9</v>
      </c>
      <c r="G16" s="25">
        <v>46325</v>
      </c>
      <c r="H16" s="25"/>
      <c r="I16" s="2"/>
      <c r="J16" s="1" t="s">
        <v>10</v>
      </c>
      <c r="K16" s="24" t="s">
        <v>93</v>
      </c>
      <c r="L16" s="24"/>
      <c r="M16" s="24"/>
      <c r="N16" s="24"/>
    </row>
    <row r="17" spans="1:14" ht="42" customHeight="1">
      <c r="A17" s="1" t="s">
        <v>11</v>
      </c>
      <c r="B17" s="24" t="s">
        <v>12</v>
      </c>
      <c r="C17" s="24"/>
      <c r="D17" s="24"/>
      <c r="E17" s="2"/>
      <c r="F17" s="1" t="s">
        <v>13</v>
      </c>
      <c r="G17" s="24" t="s">
        <v>94</v>
      </c>
      <c r="H17" s="24"/>
      <c r="I17" s="2"/>
      <c r="J17" s="1" t="s">
        <v>14</v>
      </c>
      <c r="K17" s="24" t="s">
        <v>15</v>
      </c>
      <c r="L17" s="24"/>
      <c r="M17" s="24"/>
      <c r="N17" s="24"/>
    </row>
    <row r="18" spans="1:14" ht="42" customHeight="1">
      <c r="A18" s="1" t="s">
        <v>16</v>
      </c>
      <c r="B18" s="24" t="s">
        <v>95</v>
      </c>
      <c r="C18" s="24"/>
      <c r="D18" s="24"/>
      <c r="E18" s="2"/>
      <c r="F18" s="1" t="s">
        <v>17</v>
      </c>
      <c r="G18" s="24" t="s">
        <v>18</v>
      </c>
      <c r="H18" s="24"/>
      <c r="I18" s="2"/>
      <c r="J18" s="1" t="s">
        <v>19</v>
      </c>
      <c r="K18" s="24" t="s">
        <v>96</v>
      </c>
      <c r="L18" s="24"/>
      <c r="M18" s="24"/>
      <c r="N18" s="24"/>
    </row>
    <row r="19" spans="1:14" ht="42" customHeight="1">
      <c r="A19" s="1" t="s">
        <v>20</v>
      </c>
      <c r="B19" s="24" t="s">
        <v>97</v>
      </c>
      <c r="C19" s="24"/>
      <c r="D19" s="24"/>
      <c r="E19" s="2"/>
      <c r="F19" s="1" t="s">
        <v>21</v>
      </c>
      <c r="G19" s="24" t="s">
        <v>22</v>
      </c>
      <c r="H19" s="24"/>
      <c r="I19" s="2"/>
      <c r="J19" s="1" t="s">
        <v>23</v>
      </c>
      <c r="K19" s="24" t="s">
        <v>24</v>
      </c>
      <c r="L19" s="24"/>
      <c r="M19" s="24"/>
      <c r="N19" s="24"/>
    </row>
    <row r="21" spans="1:14">
      <c r="A21" s="22" t="s">
        <v>25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</row>
    <row r="22" spans="1:14" ht="34" customHeight="1">
      <c r="A22" s="23" t="s">
        <v>26</v>
      </c>
      <c r="B22" s="23"/>
      <c r="C22" s="3" t="s">
        <v>27</v>
      </c>
      <c r="D22" s="23" t="s">
        <v>28</v>
      </c>
      <c r="E22" s="23"/>
      <c r="F22" s="23"/>
      <c r="G22" s="23" t="s">
        <v>29</v>
      </c>
      <c r="H22" s="23"/>
      <c r="I22" s="23"/>
      <c r="J22" s="23"/>
      <c r="K22" s="23"/>
      <c r="L22" s="23"/>
      <c r="M22" s="23" t="s">
        <v>30</v>
      </c>
      <c r="N22" s="23"/>
    </row>
    <row r="23" spans="1:14" ht="38" customHeight="1">
      <c r="A23" s="20" t="s">
        <v>98</v>
      </c>
      <c r="B23" s="20"/>
      <c r="C23" s="4" t="s">
        <v>99</v>
      </c>
      <c r="D23" s="20" t="s">
        <v>100</v>
      </c>
      <c r="E23" s="20"/>
      <c r="F23" s="20"/>
      <c r="G23" s="20" t="s">
        <v>101</v>
      </c>
      <c r="H23" s="20"/>
      <c r="I23" s="20"/>
      <c r="J23" s="20"/>
      <c r="K23" s="20"/>
      <c r="L23" s="20"/>
      <c r="M23" s="20" t="s">
        <v>102</v>
      </c>
      <c r="N23" s="20"/>
    </row>
    <row r="24" spans="1:14" ht="38" customHeight="1">
      <c r="A24" s="21" t="s">
        <v>103</v>
      </c>
      <c r="B24" s="21"/>
      <c r="C24" s="5" t="s">
        <v>104</v>
      </c>
      <c r="D24" s="21" t="s">
        <v>105</v>
      </c>
      <c r="E24" s="21"/>
      <c r="F24" s="21"/>
      <c r="G24" s="21" t="s">
        <v>106</v>
      </c>
      <c r="H24" s="21"/>
      <c r="I24" s="21"/>
      <c r="J24" s="21"/>
      <c r="K24" s="21"/>
      <c r="L24" s="21"/>
      <c r="M24" s="21" t="s">
        <v>107</v>
      </c>
      <c r="N24" s="21"/>
    </row>
    <row r="25" spans="1:14" ht="38" customHeight="1">
      <c r="A25" s="20" t="s">
        <v>108</v>
      </c>
      <c r="B25" s="20"/>
      <c r="C25" s="4" t="s">
        <v>109</v>
      </c>
      <c r="D25" s="20" t="s">
        <v>110</v>
      </c>
      <c r="E25" s="20"/>
      <c r="F25" s="20"/>
      <c r="G25" s="20" t="s">
        <v>111</v>
      </c>
      <c r="H25" s="20"/>
      <c r="I25" s="20"/>
      <c r="J25" s="20"/>
      <c r="K25" s="20"/>
      <c r="L25" s="20"/>
      <c r="M25" s="20" t="s">
        <v>112</v>
      </c>
      <c r="N25" s="20"/>
    </row>
    <row r="26" spans="1:14" ht="38" customHeight="1">
      <c r="A26" s="21" t="s">
        <v>113</v>
      </c>
      <c r="B26" s="21"/>
      <c r="C26" s="5" t="s">
        <v>114</v>
      </c>
      <c r="D26" s="21" t="s">
        <v>115</v>
      </c>
      <c r="E26" s="21"/>
      <c r="F26" s="21"/>
      <c r="G26" s="21" t="s">
        <v>116</v>
      </c>
      <c r="H26" s="21"/>
      <c r="I26" s="21"/>
      <c r="J26" s="21"/>
      <c r="K26" s="21"/>
      <c r="L26" s="21"/>
      <c r="M26" s="21" t="s">
        <v>117</v>
      </c>
      <c r="N26" s="21"/>
    </row>
    <row r="27" spans="1:14" ht="38" customHeight="1">
      <c r="A27" s="20" t="s">
        <v>118</v>
      </c>
      <c r="B27" s="20"/>
      <c r="C27" s="4" t="s">
        <v>119</v>
      </c>
      <c r="D27" s="20" t="s">
        <v>120</v>
      </c>
      <c r="E27" s="20"/>
      <c r="F27" s="20"/>
      <c r="G27" s="20" t="s">
        <v>121</v>
      </c>
      <c r="H27" s="20"/>
      <c r="I27" s="20"/>
      <c r="J27" s="20"/>
      <c r="K27" s="20"/>
      <c r="L27" s="20"/>
      <c r="M27" s="20" t="s">
        <v>122</v>
      </c>
      <c r="N27" s="20"/>
    </row>
    <row r="28" spans="1:14" ht="38" customHeight="1">
      <c r="A28" s="21" t="s">
        <v>123</v>
      </c>
      <c r="B28" s="21"/>
      <c r="C28" s="5" t="s">
        <v>124</v>
      </c>
      <c r="D28" s="21" t="s">
        <v>125</v>
      </c>
      <c r="E28" s="21"/>
      <c r="F28" s="21"/>
      <c r="G28" s="21" t="s">
        <v>126</v>
      </c>
      <c r="H28" s="21"/>
      <c r="I28" s="21"/>
      <c r="J28" s="21"/>
      <c r="K28" s="21"/>
      <c r="L28" s="21"/>
      <c r="M28" s="21" t="s">
        <v>127</v>
      </c>
      <c r="N28" s="21"/>
    </row>
  </sheetData>
  <mergeCells count="56">
    <mergeCell ref="A1:N2"/>
    <mergeCell ref="A3:N3"/>
    <mergeCell ref="A5:D5"/>
    <mergeCell ref="A6:D8"/>
    <mergeCell ref="F5:H5"/>
    <mergeCell ref="F6:H8"/>
    <mergeCell ref="J5:L5"/>
    <mergeCell ref="J6:L8"/>
    <mergeCell ref="A10:D10"/>
    <mergeCell ref="A11:D13"/>
    <mergeCell ref="F10:H10"/>
    <mergeCell ref="F11:H13"/>
    <mergeCell ref="J10:L10"/>
    <mergeCell ref="J11:L13"/>
    <mergeCell ref="A15:N15"/>
    <mergeCell ref="B16:D16"/>
    <mergeCell ref="G16:H16"/>
    <mergeCell ref="K16:N16"/>
    <mergeCell ref="B17:D17"/>
    <mergeCell ref="G17:H17"/>
    <mergeCell ref="K17:N17"/>
    <mergeCell ref="B18:D18"/>
    <mergeCell ref="G18:H18"/>
    <mergeCell ref="K18:N18"/>
    <mergeCell ref="B19:D19"/>
    <mergeCell ref="G19:H19"/>
    <mergeCell ref="K19:N19"/>
    <mergeCell ref="A21:N21"/>
    <mergeCell ref="A22:B22"/>
    <mergeCell ref="D22:F22"/>
    <mergeCell ref="G22:L22"/>
    <mergeCell ref="M22:N22"/>
    <mergeCell ref="A23:B23"/>
    <mergeCell ref="D23:F23"/>
    <mergeCell ref="G23:L23"/>
    <mergeCell ref="M23:N23"/>
    <mergeCell ref="A24:B24"/>
    <mergeCell ref="D24:F24"/>
    <mergeCell ref="G24:L24"/>
    <mergeCell ref="M24:N24"/>
    <mergeCell ref="A25:B25"/>
    <mergeCell ref="D25:F25"/>
    <mergeCell ref="G25:L25"/>
    <mergeCell ref="M25:N25"/>
    <mergeCell ref="A26:B26"/>
    <mergeCell ref="D26:F26"/>
    <mergeCell ref="G26:L26"/>
    <mergeCell ref="M26:N26"/>
    <mergeCell ref="A27:B27"/>
    <mergeCell ref="D27:F27"/>
    <mergeCell ref="G27:L27"/>
    <mergeCell ref="M27:N27"/>
    <mergeCell ref="A28:B28"/>
    <mergeCell ref="D28:F28"/>
    <mergeCell ref="G28:L28"/>
    <mergeCell ref="M28:N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87"/>
  <sheetViews>
    <sheetView showGridLines="0" tabSelected="1" zoomScale="55" zoomScaleNormal="55" workbookViewId="0">
      <selection activeCell="E6" sqref="E6"/>
    </sheetView>
  </sheetViews>
  <sheetFormatPr defaultRowHeight="13.7"/>
  <cols>
    <col min="1" max="1" width="8" customWidth="1"/>
    <col min="2" max="2" width="23" customWidth="1"/>
    <col min="3" max="3" width="9" customWidth="1"/>
    <col min="4" max="4" width="38" customWidth="1"/>
    <col min="5" max="5" width="58" customWidth="1"/>
    <col min="6" max="6" width="17" customWidth="1"/>
    <col min="7" max="8" width="12" customWidth="1"/>
    <col min="9" max="9" width="42" customWidth="1"/>
    <col min="10" max="11" width="10" customWidth="1"/>
    <col min="12" max="12" width="16" customWidth="1"/>
    <col min="13" max="13" width="30" customWidth="1"/>
  </cols>
  <sheetData>
    <row r="1" spans="1:13" ht="24" customHeight="1">
      <c r="A1" s="39" t="s">
        <v>128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3" ht="24" customHeight="1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</row>
    <row r="3" spans="1:13" ht="22" customHeight="1">
      <c r="A3" s="37" t="s">
        <v>129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</row>
    <row r="4" spans="1:13" ht="14.3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</row>
    <row r="5" spans="1:13" ht="34" customHeight="1">
      <c r="A5" s="3" t="s">
        <v>31</v>
      </c>
      <c r="B5" s="3" t="s">
        <v>26</v>
      </c>
      <c r="C5" s="3" t="s">
        <v>27</v>
      </c>
      <c r="D5" s="3" t="s">
        <v>32</v>
      </c>
      <c r="E5" s="3" t="s">
        <v>33</v>
      </c>
      <c r="F5" s="3" t="s">
        <v>34</v>
      </c>
      <c r="G5" s="3" t="s">
        <v>35</v>
      </c>
      <c r="H5" s="3" t="s">
        <v>36</v>
      </c>
      <c r="I5" s="3" t="s">
        <v>37</v>
      </c>
      <c r="J5" s="3" t="s">
        <v>30</v>
      </c>
      <c r="K5" s="3" t="s">
        <v>38</v>
      </c>
      <c r="L5" s="3" t="s">
        <v>39</v>
      </c>
      <c r="M5" s="3" t="s">
        <v>40</v>
      </c>
    </row>
    <row r="6" spans="1:13" ht="42" customHeight="1">
      <c r="A6" s="10" t="s">
        <v>130</v>
      </c>
      <c r="B6" s="6" t="s">
        <v>131</v>
      </c>
      <c r="C6" s="6" t="s">
        <v>132</v>
      </c>
      <c r="D6" s="6" t="s">
        <v>133</v>
      </c>
      <c r="E6" s="6" t="s">
        <v>134</v>
      </c>
      <c r="F6" s="10" t="s">
        <v>135</v>
      </c>
      <c r="G6" s="8">
        <v>46258</v>
      </c>
      <c r="H6" s="8">
        <v>46258</v>
      </c>
      <c r="I6" s="6" t="s">
        <v>136</v>
      </c>
      <c r="J6" s="6"/>
      <c r="K6" s="6" t="s">
        <v>137</v>
      </c>
      <c r="L6" s="12" t="s">
        <v>138</v>
      </c>
      <c r="M6" s="6"/>
    </row>
    <row r="7" spans="1:13" ht="42" customHeight="1">
      <c r="A7" s="11" t="s">
        <v>139</v>
      </c>
      <c r="B7" s="7" t="s">
        <v>131</v>
      </c>
      <c r="C7" s="7" t="s">
        <v>132</v>
      </c>
      <c r="D7" s="7" t="s">
        <v>140</v>
      </c>
      <c r="E7" s="7" t="s">
        <v>141</v>
      </c>
      <c r="F7" s="11" t="s">
        <v>142</v>
      </c>
      <c r="G7" s="9">
        <v>46258</v>
      </c>
      <c r="H7" s="9">
        <v>46259</v>
      </c>
      <c r="I7" s="7" t="s">
        <v>143</v>
      </c>
      <c r="J7" s="7"/>
      <c r="K7" s="7" t="s">
        <v>137</v>
      </c>
      <c r="L7" s="13" t="s">
        <v>138</v>
      </c>
      <c r="M7" s="7"/>
    </row>
    <row r="8" spans="1:13" ht="42" customHeight="1">
      <c r="A8" s="11" t="s">
        <v>144</v>
      </c>
      <c r="B8" s="7" t="s">
        <v>131</v>
      </c>
      <c r="C8" s="7" t="s">
        <v>132</v>
      </c>
      <c r="D8" s="7" t="s">
        <v>145</v>
      </c>
      <c r="E8" s="7" t="s">
        <v>146</v>
      </c>
      <c r="F8" s="11" t="s">
        <v>142</v>
      </c>
      <c r="G8" s="9">
        <v>46258</v>
      </c>
      <c r="H8" s="9">
        <v>46259</v>
      </c>
      <c r="I8" s="7" t="s">
        <v>147</v>
      </c>
      <c r="J8" s="7"/>
      <c r="K8" s="7" t="s">
        <v>148</v>
      </c>
      <c r="L8" s="13" t="s">
        <v>138</v>
      </c>
      <c r="M8" s="7"/>
    </row>
    <row r="9" spans="1:13" ht="42" customHeight="1">
      <c r="A9" s="11" t="s">
        <v>149</v>
      </c>
      <c r="B9" s="7" t="s">
        <v>131</v>
      </c>
      <c r="C9" s="7" t="s">
        <v>132</v>
      </c>
      <c r="D9" s="7" t="s">
        <v>150</v>
      </c>
      <c r="E9" s="7" t="s">
        <v>151</v>
      </c>
      <c r="F9" s="11" t="s">
        <v>142</v>
      </c>
      <c r="G9" s="9">
        <v>46258</v>
      </c>
      <c r="H9" s="9">
        <v>46259</v>
      </c>
      <c r="I9" s="7" t="s">
        <v>152</v>
      </c>
      <c r="J9" s="7"/>
      <c r="K9" s="7" t="s">
        <v>137</v>
      </c>
      <c r="L9" s="13" t="s">
        <v>138</v>
      </c>
      <c r="M9" s="7"/>
    </row>
    <row r="10" spans="1:13" ht="42" customHeight="1">
      <c r="A10" s="11" t="s">
        <v>153</v>
      </c>
      <c r="B10" s="7" t="s">
        <v>131</v>
      </c>
      <c r="C10" s="7" t="s">
        <v>132</v>
      </c>
      <c r="D10" s="7" t="s">
        <v>154</v>
      </c>
      <c r="E10" s="7" t="s">
        <v>155</v>
      </c>
      <c r="F10" s="11" t="s">
        <v>156</v>
      </c>
      <c r="G10" s="9">
        <v>46259</v>
      </c>
      <c r="H10" s="9">
        <v>46259</v>
      </c>
      <c r="I10" s="7" t="s">
        <v>157</v>
      </c>
      <c r="J10" s="7"/>
      <c r="K10" s="7" t="s">
        <v>137</v>
      </c>
      <c r="L10" s="13" t="s">
        <v>138</v>
      </c>
      <c r="M10" s="7"/>
    </row>
    <row r="11" spans="1:13" ht="42" customHeight="1">
      <c r="A11" s="11" t="s">
        <v>158</v>
      </c>
      <c r="B11" s="7" t="s">
        <v>131</v>
      </c>
      <c r="C11" s="7" t="s">
        <v>132</v>
      </c>
      <c r="D11" s="7" t="s">
        <v>159</v>
      </c>
      <c r="E11" s="7" t="s">
        <v>160</v>
      </c>
      <c r="F11" s="11" t="s">
        <v>156</v>
      </c>
      <c r="G11" s="9">
        <v>46259</v>
      </c>
      <c r="H11" s="9">
        <v>46259</v>
      </c>
      <c r="I11" s="7" t="s">
        <v>161</v>
      </c>
      <c r="J11" s="7"/>
      <c r="K11" s="7" t="s">
        <v>137</v>
      </c>
      <c r="L11" s="13" t="s">
        <v>138</v>
      </c>
      <c r="M11" s="7"/>
    </row>
    <row r="12" spans="1:13" ht="42" customHeight="1">
      <c r="A12" s="11" t="s">
        <v>162</v>
      </c>
      <c r="B12" s="7" t="s">
        <v>131</v>
      </c>
      <c r="C12" s="7" t="s">
        <v>132</v>
      </c>
      <c r="D12" s="7" t="s">
        <v>163</v>
      </c>
      <c r="E12" s="7" t="s">
        <v>164</v>
      </c>
      <c r="F12" s="11" t="s">
        <v>156</v>
      </c>
      <c r="G12" s="9">
        <v>46259</v>
      </c>
      <c r="H12" s="9">
        <v>46260</v>
      </c>
      <c r="I12" s="7" t="s">
        <v>165</v>
      </c>
      <c r="J12" s="7"/>
      <c r="K12" s="7" t="s">
        <v>137</v>
      </c>
      <c r="L12" s="13" t="s">
        <v>138</v>
      </c>
      <c r="M12" s="7"/>
    </row>
    <row r="13" spans="1:13" ht="42" customHeight="1">
      <c r="A13" s="11" t="s">
        <v>166</v>
      </c>
      <c r="B13" s="7" t="s">
        <v>131</v>
      </c>
      <c r="C13" s="7" t="s">
        <v>132</v>
      </c>
      <c r="D13" s="7" t="s">
        <v>167</v>
      </c>
      <c r="E13" s="7" t="s">
        <v>168</v>
      </c>
      <c r="F13" s="11" t="s">
        <v>156</v>
      </c>
      <c r="G13" s="9">
        <v>46260</v>
      </c>
      <c r="H13" s="9">
        <v>46260</v>
      </c>
      <c r="I13" s="7" t="s">
        <v>169</v>
      </c>
      <c r="J13" s="7"/>
      <c r="K13" s="7" t="s">
        <v>137</v>
      </c>
      <c r="L13" s="13" t="s">
        <v>138</v>
      </c>
      <c r="M13" s="7"/>
    </row>
    <row r="14" spans="1:13" ht="42" customHeight="1">
      <c r="A14" s="11" t="s">
        <v>170</v>
      </c>
      <c r="B14" s="7" t="s">
        <v>131</v>
      </c>
      <c r="C14" s="7" t="s">
        <v>132</v>
      </c>
      <c r="D14" s="7" t="s">
        <v>171</v>
      </c>
      <c r="E14" s="7" t="s">
        <v>172</v>
      </c>
      <c r="F14" s="11" t="s">
        <v>156</v>
      </c>
      <c r="G14" s="9">
        <v>46260</v>
      </c>
      <c r="H14" s="9">
        <v>46261</v>
      </c>
      <c r="I14" s="7" t="s">
        <v>173</v>
      </c>
      <c r="J14" s="7"/>
      <c r="K14" s="7" t="s">
        <v>137</v>
      </c>
      <c r="L14" s="13" t="s">
        <v>138</v>
      </c>
      <c r="M14" s="7"/>
    </row>
    <row r="15" spans="1:13" ht="42" customHeight="1">
      <c r="A15" s="11" t="s">
        <v>174</v>
      </c>
      <c r="B15" s="7" t="s">
        <v>131</v>
      </c>
      <c r="C15" s="7" t="s">
        <v>132</v>
      </c>
      <c r="D15" s="7" t="s">
        <v>175</v>
      </c>
      <c r="E15" s="7" t="s">
        <v>176</v>
      </c>
      <c r="F15" s="11" t="s">
        <v>156</v>
      </c>
      <c r="G15" s="9">
        <v>46261</v>
      </c>
      <c r="H15" s="9">
        <v>46261</v>
      </c>
      <c r="I15" s="7" t="s">
        <v>177</v>
      </c>
      <c r="J15" s="7"/>
      <c r="K15" s="7" t="s">
        <v>137</v>
      </c>
      <c r="L15" s="13" t="s">
        <v>138</v>
      </c>
      <c r="M15" s="7"/>
    </row>
    <row r="16" spans="1:13" ht="42" customHeight="1">
      <c r="A16" s="11" t="s">
        <v>178</v>
      </c>
      <c r="B16" s="7" t="s">
        <v>131</v>
      </c>
      <c r="C16" s="7" t="s">
        <v>132</v>
      </c>
      <c r="D16" s="7" t="s">
        <v>179</v>
      </c>
      <c r="E16" s="7" t="s">
        <v>180</v>
      </c>
      <c r="F16" s="11" t="s">
        <v>181</v>
      </c>
      <c r="G16" s="9">
        <v>46261</v>
      </c>
      <c r="H16" s="9">
        <v>46261</v>
      </c>
      <c r="I16" s="7" t="s">
        <v>182</v>
      </c>
      <c r="J16" s="7"/>
      <c r="K16" s="7" t="s">
        <v>137</v>
      </c>
      <c r="L16" s="13" t="s">
        <v>138</v>
      </c>
      <c r="M16" s="7"/>
    </row>
    <row r="17" spans="1:13" ht="42" customHeight="1">
      <c r="A17" s="11" t="s">
        <v>183</v>
      </c>
      <c r="B17" s="7" t="s">
        <v>131</v>
      </c>
      <c r="C17" s="7" t="s">
        <v>132</v>
      </c>
      <c r="D17" s="7" t="s">
        <v>184</v>
      </c>
      <c r="E17" s="7" t="s">
        <v>185</v>
      </c>
      <c r="F17" s="11" t="s">
        <v>186</v>
      </c>
      <c r="G17" s="9">
        <v>46262</v>
      </c>
      <c r="H17" s="9">
        <v>46262</v>
      </c>
      <c r="I17" s="7" t="s">
        <v>187</v>
      </c>
      <c r="J17" s="7" t="s">
        <v>102</v>
      </c>
      <c r="K17" s="7" t="s">
        <v>137</v>
      </c>
      <c r="L17" s="13" t="s">
        <v>138</v>
      </c>
      <c r="M17" s="7"/>
    </row>
    <row r="18" spans="1:13" ht="42" customHeight="1">
      <c r="A18" s="11" t="s">
        <v>188</v>
      </c>
      <c r="B18" s="7" t="s">
        <v>189</v>
      </c>
      <c r="C18" s="7" t="s">
        <v>190</v>
      </c>
      <c r="D18" s="7" t="s">
        <v>191</v>
      </c>
      <c r="E18" s="7" t="s">
        <v>192</v>
      </c>
      <c r="F18" s="11" t="s">
        <v>193</v>
      </c>
      <c r="G18" s="9">
        <v>46265</v>
      </c>
      <c r="H18" s="9">
        <v>46267</v>
      </c>
      <c r="I18" s="7" t="s">
        <v>194</v>
      </c>
      <c r="J18" s="7"/>
      <c r="K18" s="7" t="s">
        <v>137</v>
      </c>
      <c r="L18" s="13" t="s">
        <v>138</v>
      </c>
      <c r="M18" s="7"/>
    </row>
    <row r="19" spans="1:13" ht="42" customHeight="1">
      <c r="A19" s="11" t="s">
        <v>195</v>
      </c>
      <c r="B19" s="7" t="s">
        <v>189</v>
      </c>
      <c r="C19" s="7" t="s">
        <v>190</v>
      </c>
      <c r="D19" s="7" t="s">
        <v>196</v>
      </c>
      <c r="E19" s="7" t="s">
        <v>197</v>
      </c>
      <c r="F19" s="11" t="s">
        <v>193</v>
      </c>
      <c r="G19" s="9">
        <v>46265</v>
      </c>
      <c r="H19" s="9">
        <v>46267</v>
      </c>
      <c r="I19" s="7" t="s">
        <v>198</v>
      </c>
      <c r="J19" s="7"/>
      <c r="K19" s="7" t="s">
        <v>137</v>
      </c>
      <c r="L19" s="13" t="s">
        <v>138</v>
      </c>
      <c r="M19" s="7"/>
    </row>
    <row r="20" spans="1:13" ht="42" customHeight="1">
      <c r="A20" s="11" t="s">
        <v>199</v>
      </c>
      <c r="B20" s="7" t="s">
        <v>189</v>
      </c>
      <c r="C20" s="7" t="s">
        <v>190</v>
      </c>
      <c r="D20" s="7" t="s">
        <v>200</v>
      </c>
      <c r="E20" s="7" t="s">
        <v>201</v>
      </c>
      <c r="F20" s="11" t="s">
        <v>202</v>
      </c>
      <c r="G20" s="9">
        <v>46265</v>
      </c>
      <c r="H20" s="9">
        <v>46266</v>
      </c>
      <c r="I20" s="7" t="s">
        <v>203</v>
      </c>
      <c r="J20" s="7"/>
      <c r="K20" s="7" t="s">
        <v>148</v>
      </c>
      <c r="L20" s="13" t="s">
        <v>138</v>
      </c>
      <c r="M20" s="7"/>
    </row>
    <row r="21" spans="1:13" ht="42" customHeight="1">
      <c r="A21" s="11" t="s">
        <v>204</v>
      </c>
      <c r="B21" s="7" t="s">
        <v>189</v>
      </c>
      <c r="C21" s="7" t="s">
        <v>190</v>
      </c>
      <c r="D21" s="7" t="s">
        <v>205</v>
      </c>
      <c r="E21" s="7" t="s">
        <v>206</v>
      </c>
      <c r="F21" s="11" t="s">
        <v>207</v>
      </c>
      <c r="G21" s="9">
        <v>46267</v>
      </c>
      <c r="H21" s="9">
        <v>46269</v>
      </c>
      <c r="I21" s="7" t="s">
        <v>208</v>
      </c>
      <c r="J21" s="7"/>
      <c r="K21" s="7" t="s">
        <v>137</v>
      </c>
      <c r="L21" s="13" t="s">
        <v>138</v>
      </c>
      <c r="M21" s="7"/>
    </row>
    <row r="22" spans="1:13" ht="42" customHeight="1">
      <c r="A22" s="11" t="s">
        <v>209</v>
      </c>
      <c r="B22" s="7" t="s">
        <v>189</v>
      </c>
      <c r="C22" s="7" t="s">
        <v>210</v>
      </c>
      <c r="D22" s="7" t="s">
        <v>211</v>
      </c>
      <c r="E22" s="7" t="s">
        <v>212</v>
      </c>
      <c r="F22" s="11" t="s">
        <v>213</v>
      </c>
      <c r="G22" s="9">
        <v>46272</v>
      </c>
      <c r="H22" s="9">
        <v>46273</v>
      </c>
      <c r="I22" s="7" t="s">
        <v>214</v>
      </c>
      <c r="J22" s="7"/>
      <c r="K22" s="7" t="s">
        <v>137</v>
      </c>
      <c r="L22" s="13" t="s">
        <v>138</v>
      </c>
      <c r="M22" s="7"/>
    </row>
    <row r="23" spans="1:13" ht="42" customHeight="1">
      <c r="A23" s="11" t="s">
        <v>215</v>
      </c>
      <c r="B23" s="7" t="s">
        <v>189</v>
      </c>
      <c r="C23" s="7" t="s">
        <v>210</v>
      </c>
      <c r="D23" s="7" t="s">
        <v>216</v>
      </c>
      <c r="E23" s="7" t="s">
        <v>217</v>
      </c>
      <c r="F23" s="11" t="s">
        <v>213</v>
      </c>
      <c r="G23" s="9">
        <v>46272</v>
      </c>
      <c r="H23" s="9">
        <v>46274</v>
      </c>
      <c r="I23" s="7" t="s">
        <v>218</v>
      </c>
      <c r="J23" s="7"/>
      <c r="K23" s="7" t="s">
        <v>137</v>
      </c>
      <c r="L23" s="13" t="s">
        <v>138</v>
      </c>
      <c r="M23" s="7"/>
    </row>
    <row r="24" spans="1:13" ht="42" customHeight="1">
      <c r="A24" s="11" t="s">
        <v>219</v>
      </c>
      <c r="B24" s="7" t="s">
        <v>189</v>
      </c>
      <c r="C24" s="7" t="s">
        <v>210</v>
      </c>
      <c r="D24" s="7" t="s">
        <v>220</v>
      </c>
      <c r="E24" s="7" t="s">
        <v>221</v>
      </c>
      <c r="F24" s="11" t="s">
        <v>213</v>
      </c>
      <c r="G24" s="9">
        <v>46273</v>
      </c>
      <c r="H24" s="9">
        <v>46275</v>
      </c>
      <c r="I24" s="7" t="s">
        <v>222</v>
      </c>
      <c r="J24" s="7"/>
      <c r="K24" s="7" t="s">
        <v>137</v>
      </c>
      <c r="L24" s="13" t="s">
        <v>138</v>
      </c>
      <c r="M24" s="7"/>
    </row>
    <row r="25" spans="1:13" ht="42" customHeight="1">
      <c r="A25" s="11" t="s">
        <v>223</v>
      </c>
      <c r="B25" s="7" t="s">
        <v>189</v>
      </c>
      <c r="C25" s="7" t="s">
        <v>210</v>
      </c>
      <c r="D25" s="7" t="s">
        <v>224</v>
      </c>
      <c r="E25" s="7" t="s">
        <v>225</v>
      </c>
      <c r="F25" s="11" t="s">
        <v>226</v>
      </c>
      <c r="G25" s="9">
        <v>46274</v>
      </c>
      <c r="H25" s="9">
        <v>46275</v>
      </c>
      <c r="I25" s="7" t="s">
        <v>227</v>
      </c>
      <c r="J25" s="7"/>
      <c r="K25" s="7" t="s">
        <v>137</v>
      </c>
      <c r="L25" s="13" t="s">
        <v>138</v>
      </c>
      <c r="M25" s="7"/>
    </row>
    <row r="26" spans="1:13" ht="42" customHeight="1">
      <c r="A26" s="11" t="s">
        <v>228</v>
      </c>
      <c r="B26" s="7" t="s">
        <v>189</v>
      </c>
      <c r="C26" s="7" t="s">
        <v>210</v>
      </c>
      <c r="D26" s="7" t="s">
        <v>229</v>
      </c>
      <c r="E26" s="7" t="s">
        <v>230</v>
      </c>
      <c r="F26" s="11" t="s">
        <v>231</v>
      </c>
      <c r="G26" s="9">
        <v>46275</v>
      </c>
      <c r="H26" s="9">
        <v>46276</v>
      </c>
      <c r="I26" s="7" t="s">
        <v>232</v>
      </c>
      <c r="J26" s="7"/>
      <c r="K26" s="7" t="s">
        <v>137</v>
      </c>
      <c r="L26" s="13" t="s">
        <v>138</v>
      </c>
      <c r="M26" s="7"/>
    </row>
    <row r="27" spans="1:13" ht="42" customHeight="1">
      <c r="A27" s="11" t="s">
        <v>233</v>
      </c>
      <c r="B27" s="7" t="s">
        <v>189</v>
      </c>
      <c r="C27" s="7" t="s">
        <v>210</v>
      </c>
      <c r="D27" s="7" t="s">
        <v>234</v>
      </c>
      <c r="E27" s="7" t="s">
        <v>235</v>
      </c>
      <c r="F27" s="11" t="s">
        <v>236</v>
      </c>
      <c r="G27" s="9">
        <v>46276</v>
      </c>
      <c r="H27" s="9">
        <v>46276</v>
      </c>
      <c r="I27" s="7" t="s">
        <v>237</v>
      </c>
      <c r="J27" s="7" t="s">
        <v>107</v>
      </c>
      <c r="K27" s="7" t="s">
        <v>137</v>
      </c>
      <c r="L27" s="13" t="s">
        <v>138</v>
      </c>
      <c r="M27" s="7"/>
    </row>
    <row r="28" spans="1:13" ht="42" customHeight="1">
      <c r="A28" s="11" t="s">
        <v>238</v>
      </c>
      <c r="B28" s="7" t="s">
        <v>239</v>
      </c>
      <c r="C28" s="7" t="s">
        <v>240</v>
      </c>
      <c r="D28" s="7" t="s">
        <v>241</v>
      </c>
      <c r="E28" s="7" t="s">
        <v>242</v>
      </c>
      <c r="F28" s="11" t="s">
        <v>226</v>
      </c>
      <c r="G28" s="9">
        <v>46279</v>
      </c>
      <c r="H28" s="9">
        <v>46280</v>
      </c>
      <c r="I28" s="7" t="s">
        <v>243</v>
      </c>
      <c r="J28" s="7"/>
      <c r="K28" s="7" t="s">
        <v>137</v>
      </c>
      <c r="L28" s="13" t="s">
        <v>138</v>
      </c>
      <c r="M28" s="7"/>
    </row>
    <row r="29" spans="1:13" ht="42" customHeight="1">
      <c r="A29" s="11" t="s">
        <v>244</v>
      </c>
      <c r="B29" s="7" t="s">
        <v>239</v>
      </c>
      <c r="C29" s="7" t="s">
        <v>240</v>
      </c>
      <c r="D29" s="7" t="s">
        <v>245</v>
      </c>
      <c r="E29" s="7" t="s">
        <v>246</v>
      </c>
      <c r="F29" s="11" t="s">
        <v>247</v>
      </c>
      <c r="G29" s="9">
        <v>46279</v>
      </c>
      <c r="H29" s="9">
        <v>46283</v>
      </c>
      <c r="I29" s="7" t="s">
        <v>248</v>
      </c>
      <c r="J29" s="7"/>
      <c r="K29" s="7" t="s">
        <v>137</v>
      </c>
      <c r="L29" s="13" t="s">
        <v>138</v>
      </c>
      <c r="M29" s="7"/>
    </row>
    <row r="30" spans="1:13" ht="42" customHeight="1">
      <c r="A30" s="11" t="s">
        <v>249</v>
      </c>
      <c r="B30" s="7" t="s">
        <v>239</v>
      </c>
      <c r="C30" s="7" t="s">
        <v>240</v>
      </c>
      <c r="D30" s="7" t="s">
        <v>250</v>
      </c>
      <c r="E30" s="7" t="s">
        <v>251</v>
      </c>
      <c r="F30" s="11" t="s">
        <v>193</v>
      </c>
      <c r="G30" s="9">
        <v>46279</v>
      </c>
      <c r="H30" s="9">
        <v>46279</v>
      </c>
      <c r="I30" s="7" t="s">
        <v>252</v>
      </c>
      <c r="J30" s="7"/>
      <c r="K30" s="7" t="s">
        <v>148</v>
      </c>
      <c r="L30" s="13" t="s">
        <v>138</v>
      </c>
      <c r="M30" s="7"/>
    </row>
    <row r="31" spans="1:13" ht="42" customHeight="1">
      <c r="A31" s="11" t="s">
        <v>253</v>
      </c>
      <c r="B31" s="7" t="s">
        <v>239</v>
      </c>
      <c r="C31" s="7" t="s">
        <v>240</v>
      </c>
      <c r="D31" s="7" t="s">
        <v>254</v>
      </c>
      <c r="E31" s="7" t="s">
        <v>255</v>
      </c>
      <c r="F31" s="11" t="s">
        <v>231</v>
      </c>
      <c r="G31" s="9">
        <v>46279</v>
      </c>
      <c r="H31" s="9">
        <v>46280</v>
      </c>
      <c r="I31" s="7" t="s">
        <v>256</v>
      </c>
      <c r="J31" s="7"/>
      <c r="K31" s="7" t="s">
        <v>137</v>
      </c>
      <c r="L31" s="13" t="s">
        <v>138</v>
      </c>
      <c r="M31" s="7"/>
    </row>
    <row r="32" spans="1:13" ht="42" customHeight="1">
      <c r="A32" s="11" t="s">
        <v>257</v>
      </c>
      <c r="B32" s="7" t="s">
        <v>239</v>
      </c>
      <c r="C32" s="7" t="s">
        <v>240</v>
      </c>
      <c r="D32" s="7" t="s">
        <v>258</v>
      </c>
      <c r="E32" s="7" t="s">
        <v>259</v>
      </c>
      <c r="F32" s="11" t="s">
        <v>260</v>
      </c>
      <c r="G32" s="9">
        <v>46280</v>
      </c>
      <c r="H32" s="9">
        <v>46281</v>
      </c>
      <c r="I32" s="7" t="s">
        <v>261</v>
      </c>
      <c r="J32" s="7"/>
      <c r="K32" s="7" t="s">
        <v>137</v>
      </c>
      <c r="L32" s="13" t="s">
        <v>138</v>
      </c>
      <c r="M32" s="7"/>
    </row>
    <row r="33" spans="1:13" ht="42" customHeight="1">
      <c r="A33" s="11" t="s">
        <v>262</v>
      </c>
      <c r="B33" s="7" t="s">
        <v>239</v>
      </c>
      <c r="C33" s="7" t="s">
        <v>240</v>
      </c>
      <c r="D33" s="7" t="s">
        <v>263</v>
      </c>
      <c r="E33" s="7" t="s">
        <v>264</v>
      </c>
      <c r="F33" s="11" t="s">
        <v>265</v>
      </c>
      <c r="G33" s="9">
        <v>46280</v>
      </c>
      <c r="H33" s="9">
        <v>46281</v>
      </c>
      <c r="I33" s="7" t="s">
        <v>266</v>
      </c>
      <c r="J33" s="7"/>
      <c r="K33" s="7" t="s">
        <v>137</v>
      </c>
      <c r="L33" s="13" t="s">
        <v>138</v>
      </c>
      <c r="M33" s="7"/>
    </row>
    <row r="34" spans="1:13" ht="42" customHeight="1">
      <c r="A34" s="11" t="s">
        <v>267</v>
      </c>
      <c r="B34" s="7" t="s">
        <v>239</v>
      </c>
      <c r="C34" s="7" t="s">
        <v>240</v>
      </c>
      <c r="D34" s="7" t="s">
        <v>268</v>
      </c>
      <c r="E34" s="7" t="s">
        <v>269</v>
      </c>
      <c r="F34" s="11" t="s">
        <v>270</v>
      </c>
      <c r="G34" s="9">
        <v>46281</v>
      </c>
      <c r="H34" s="9">
        <v>46282</v>
      </c>
      <c r="I34" s="7" t="s">
        <v>271</v>
      </c>
      <c r="J34" s="7"/>
      <c r="K34" s="7" t="s">
        <v>137</v>
      </c>
      <c r="L34" s="13" t="s">
        <v>138</v>
      </c>
      <c r="M34" s="7"/>
    </row>
    <row r="35" spans="1:13" ht="42" customHeight="1">
      <c r="A35" s="11" t="s">
        <v>272</v>
      </c>
      <c r="B35" s="7" t="s">
        <v>239</v>
      </c>
      <c r="C35" s="7" t="s">
        <v>240</v>
      </c>
      <c r="D35" s="7" t="s">
        <v>273</v>
      </c>
      <c r="E35" s="7" t="s">
        <v>274</v>
      </c>
      <c r="F35" s="11" t="s">
        <v>275</v>
      </c>
      <c r="G35" s="9">
        <v>46281</v>
      </c>
      <c r="H35" s="9">
        <v>46282</v>
      </c>
      <c r="I35" s="7" t="s">
        <v>276</v>
      </c>
      <c r="J35" s="7"/>
      <c r="K35" s="7" t="s">
        <v>137</v>
      </c>
      <c r="L35" s="13" t="s">
        <v>138</v>
      </c>
      <c r="M35" s="7"/>
    </row>
    <row r="36" spans="1:13" ht="42" customHeight="1">
      <c r="A36" s="11" t="s">
        <v>277</v>
      </c>
      <c r="B36" s="7" t="s">
        <v>239</v>
      </c>
      <c r="C36" s="7" t="s">
        <v>240</v>
      </c>
      <c r="D36" s="7" t="s">
        <v>278</v>
      </c>
      <c r="E36" s="7" t="s">
        <v>279</v>
      </c>
      <c r="F36" s="11" t="s">
        <v>280</v>
      </c>
      <c r="G36" s="9">
        <v>46282</v>
      </c>
      <c r="H36" s="9">
        <v>46282</v>
      </c>
      <c r="I36" s="7" t="s">
        <v>281</v>
      </c>
      <c r="J36" s="7"/>
      <c r="K36" s="7" t="s">
        <v>137</v>
      </c>
      <c r="L36" s="13" t="s">
        <v>138</v>
      </c>
      <c r="M36" s="7"/>
    </row>
    <row r="37" spans="1:13" ht="42" customHeight="1">
      <c r="A37" s="11" t="s">
        <v>282</v>
      </c>
      <c r="B37" s="7" t="s">
        <v>239</v>
      </c>
      <c r="C37" s="7" t="s">
        <v>240</v>
      </c>
      <c r="D37" s="7" t="s">
        <v>283</v>
      </c>
      <c r="E37" s="7" t="s">
        <v>284</v>
      </c>
      <c r="F37" s="11" t="s">
        <v>285</v>
      </c>
      <c r="G37" s="9">
        <v>46279</v>
      </c>
      <c r="H37" s="9">
        <v>46281</v>
      </c>
      <c r="I37" s="7" t="s">
        <v>286</v>
      </c>
      <c r="J37" s="7"/>
      <c r="K37" s="7" t="s">
        <v>137</v>
      </c>
      <c r="L37" s="13" t="s">
        <v>138</v>
      </c>
      <c r="M37" s="7"/>
    </row>
    <row r="38" spans="1:13" ht="42" customHeight="1">
      <c r="A38" s="11" t="s">
        <v>287</v>
      </c>
      <c r="B38" s="7" t="s">
        <v>239</v>
      </c>
      <c r="C38" s="7" t="s">
        <v>240</v>
      </c>
      <c r="D38" s="7" t="s">
        <v>288</v>
      </c>
      <c r="E38" s="7" t="s">
        <v>289</v>
      </c>
      <c r="F38" s="11" t="s">
        <v>290</v>
      </c>
      <c r="G38" s="9">
        <v>46281</v>
      </c>
      <c r="H38" s="9">
        <v>46282</v>
      </c>
      <c r="I38" s="7" t="s">
        <v>291</v>
      </c>
      <c r="J38" s="7"/>
      <c r="K38" s="7" t="s">
        <v>137</v>
      </c>
      <c r="L38" s="13" t="s">
        <v>138</v>
      </c>
      <c r="M38" s="7"/>
    </row>
    <row r="39" spans="1:13" ht="42" customHeight="1">
      <c r="A39" s="11" t="s">
        <v>292</v>
      </c>
      <c r="B39" s="7" t="s">
        <v>239</v>
      </c>
      <c r="C39" s="7" t="s">
        <v>240</v>
      </c>
      <c r="D39" s="7" t="s">
        <v>293</v>
      </c>
      <c r="E39" s="7" t="s">
        <v>294</v>
      </c>
      <c r="F39" s="11" t="s">
        <v>295</v>
      </c>
      <c r="G39" s="9">
        <v>46281</v>
      </c>
      <c r="H39" s="9">
        <v>46283</v>
      </c>
      <c r="I39" s="7" t="s">
        <v>296</v>
      </c>
      <c r="J39" s="7"/>
      <c r="K39" s="7" t="s">
        <v>137</v>
      </c>
      <c r="L39" s="13" t="s">
        <v>138</v>
      </c>
      <c r="M39" s="7"/>
    </row>
    <row r="40" spans="1:13" ht="42" customHeight="1">
      <c r="A40" s="11" t="s">
        <v>297</v>
      </c>
      <c r="B40" s="7" t="s">
        <v>239</v>
      </c>
      <c r="C40" s="7" t="s">
        <v>240</v>
      </c>
      <c r="D40" s="7" t="s">
        <v>298</v>
      </c>
      <c r="E40" s="7" t="s">
        <v>299</v>
      </c>
      <c r="F40" s="11" t="s">
        <v>300</v>
      </c>
      <c r="G40" s="9">
        <v>46282</v>
      </c>
      <c r="H40" s="9">
        <v>46282</v>
      </c>
      <c r="I40" s="7" t="s">
        <v>301</v>
      </c>
      <c r="J40" s="7"/>
      <c r="K40" s="7" t="s">
        <v>137</v>
      </c>
      <c r="L40" s="13" t="s">
        <v>138</v>
      </c>
      <c r="M40" s="7"/>
    </row>
    <row r="41" spans="1:13" ht="42" customHeight="1">
      <c r="A41" s="11" t="s">
        <v>302</v>
      </c>
      <c r="B41" s="7" t="s">
        <v>239</v>
      </c>
      <c r="C41" s="7" t="s">
        <v>240</v>
      </c>
      <c r="D41" s="7" t="s">
        <v>303</v>
      </c>
      <c r="E41" s="7" t="s">
        <v>304</v>
      </c>
      <c r="F41" s="11" t="s">
        <v>305</v>
      </c>
      <c r="G41" s="9">
        <v>46280</v>
      </c>
      <c r="H41" s="9">
        <v>46283</v>
      </c>
      <c r="I41" s="7" t="s">
        <v>306</v>
      </c>
      <c r="J41" s="7"/>
      <c r="K41" s="7" t="s">
        <v>137</v>
      </c>
      <c r="L41" s="13" t="s">
        <v>138</v>
      </c>
      <c r="M41" s="7"/>
    </row>
    <row r="42" spans="1:13" ht="42" customHeight="1">
      <c r="A42" s="11" t="s">
        <v>307</v>
      </c>
      <c r="B42" s="7" t="s">
        <v>239</v>
      </c>
      <c r="C42" s="7" t="s">
        <v>240</v>
      </c>
      <c r="D42" s="7" t="s">
        <v>308</v>
      </c>
      <c r="E42" s="7" t="s">
        <v>309</v>
      </c>
      <c r="F42" s="11" t="s">
        <v>186</v>
      </c>
      <c r="G42" s="9">
        <v>46279</v>
      </c>
      <c r="H42" s="9">
        <v>46283</v>
      </c>
      <c r="I42" s="7" t="s">
        <v>310</v>
      </c>
      <c r="J42" s="7" t="s">
        <v>112</v>
      </c>
      <c r="K42" s="7" t="s">
        <v>137</v>
      </c>
      <c r="L42" s="13" t="s">
        <v>138</v>
      </c>
      <c r="M42" s="7"/>
    </row>
    <row r="43" spans="1:13" ht="42" customHeight="1">
      <c r="A43" s="11" t="s">
        <v>311</v>
      </c>
      <c r="B43" s="7" t="s">
        <v>312</v>
      </c>
      <c r="C43" s="7" t="s">
        <v>313</v>
      </c>
      <c r="D43" s="7" t="s">
        <v>314</v>
      </c>
      <c r="E43" s="7" t="s">
        <v>315</v>
      </c>
      <c r="F43" s="11" t="s">
        <v>316</v>
      </c>
      <c r="G43" s="9">
        <v>46286</v>
      </c>
      <c r="H43" s="9">
        <v>46286</v>
      </c>
      <c r="I43" s="7" t="s">
        <v>317</v>
      </c>
      <c r="J43" s="7"/>
      <c r="K43" s="7" t="s">
        <v>137</v>
      </c>
      <c r="L43" s="13" t="s">
        <v>138</v>
      </c>
      <c r="M43" s="7"/>
    </row>
    <row r="44" spans="1:13" ht="42" customHeight="1">
      <c r="A44" s="11" t="s">
        <v>318</v>
      </c>
      <c r="B44" s="7" t="s">
        <v>312</v>
      </c>
      <c r="C44" s="7" t="s">
        <v>313</v>
      </c>
      <c r="D44" s="7" t="s">
        <v>319</v>
      </c>
      <c r="E44" s="7" t="s">
        <v>320</v>
      </c>
      <c r="F44" s="11" t="s">
        <v>321</v>
      </c>
      <c r="G44" s="9">
        <v>46286</v>
      </c>
      <c r="H44" s="9">
        <v>46287</v>
      </c>
      <c r="I44" s="7" t="s">
        <v>322</v>
      </c>
      <c r="J44" s="7"/>
      <c r="K44" s="7" t="s">
        <v>137</v>
      </c>
      <c r="L44" s="13" t="s">
        <v>138</v>
      </c>
      <c r="M44" s="7"/>
    </row>
    <row r="45" spans="1:13" ht="42" customHeight="1">
      <c r="A45" s="11" t="s">
        <v>323</v>
      </c>
      <c r="B45" s="7" t="s">
        <v>312</v>
      </c>
      <c r="C45" s="7" t="s">
        <v>313</v>
      </c>
      <c r="D45" s="7" t="s">
        <v>324</v>
      </c>
      <c r="E45" s="7" t="s">
        <v>325</v>
      </c>
      <c r="F45" s="11" t="s">
        <v>326</v>
      </c>
      <c r="G45" s="9">
        <v>46287</v>
      </c>
      <c r="H45" s="9">
        <v>46288</v>
      </c>
      <c r="I45" s="7" t="s">
        <v>327</v>
      </c>
      <c r="J45" s="7"/>
      <c r="K45" s="7" t="s">
        <v>137</v>
      </c>
      <c r="L45" s="13" t="s">
        <v>138</v>
      </c>
      <c r="M45" s="7"/>
    </row>
    <row r="46" spans="1:13" ht="42" customHeight="1">
      <c r="A46" s="11" t="s">
        <v>328</v>
      </c>
      <c r="B46" s="7" t="s">
        <v>312</v>
      </c>
      <c r="C46" s="7" t="s">
        <v>313</v>
      </c>
      <c r="D46" s="7" t="s">
        <v>329</v>
      </c>
      <c r="E46" s="7" t="s">
        <v>330</v>
      </c>
      <c r="F46" s="11" t="s">
        <v>326</v>
      </c>
      <c r="G46" s="9">
        <v>46288</v>
      </c>
      <c r="H46" s="9">
        <v>46290</v>
      </c>
      <c r="I46" s="7" t="s">
        <v>331</v>
      </c>
      <c r="J46" s="7"/>
      <c r="K46" s="7" t="s">
        <v>148</v>
      </c>
      <c r="L46" s="13" t="s">
        <v>138</v>
      </c>
      <c r="M46" s="7"/>
    </row>
    <row r="47" spans="1:13" ht="42" customHeight="1">
      <c r="A47" s="11" t="s">
        <v>332</v>
      </c>
      <c r="B47" s="7" t="s">
        <v>312</v>
      </c>
      <c r="C47" s="7" t="s">
        <v>313</v>
      </c>
      <c r="D47" s="7" t="s">
        <v>333</v>
      </c>
      <c r="E47" s="7" t="s">
        <v>334</v>
      </c>
      <c r="F47" s="11" t="s">
        <v>335</v>
      </c>
      <c r="G47" s="9">
        <v>46289</v>
      </c>
      <c r="H47" s="9">
        <v>46290</v>
      </c>
      <c r="I47" s="7" t="s">
        <v>336</v>
      </c>
      <c r="J47" s="7"/>
      <c r="K47" s="7" t="s">
        <v>137</v>
      </c>
      <c r="L47" s="13" t="s">
        <v>138</v>
      </c>
      <c r="M47" s="7"/>
    </row>
    <row r="48" spans="1:13" ht="42" customHeight="1">
      <c r="A48" s="11" t="s">
        <v>337</v>
      </c>
      <c r="B48" s="7" t="s">
        <v>312</v>
      </c>
      <c r="C48" s="7" t="s">
        <v>338</v>
      </c>
      <c r="D48" s="7" t="s">
        <v>339</v>
      </c>
      <c r="E48" s="7" t="s">
        <v>340</v>
      </c>
      <c r="F48" s="11" t="s">
        <v>341</v>
      </c>
      <c r="G48" s="9">
        <v>46293</v>
      </c>
      <c r="H48" s="9">
        <v>46295</v>
      </c>
      <c r="I48" s="7" t="s">
        <v>342</v>
      </c>
      <c r="J48" s="7"/>
      <c r="K48" s="7" t="s">
        <v>137</v>
      </c>
      <c r="L48" s="13" t="s">
        <v>138</v>
      </c>
      <c r="M48" s="7"/>
    </row>
    <row r="49" spans="1:13" ht="42" customHeight="1">
      <c r="A49" s="11" t="s">
        <v>343</v>
      </c>
      <c r="B49" s="7" t="s">
        <v>312</v>
      </c>
      <c r="C49" s="7" t="s">
        <v>338</v>
      </c>
      <c r="D49" s="7" t="s">
        <v>344</v>
      </c>
      <c r="E49" s="7" t="s">
        <v>345</v>
      </c>
      <c r="F49" s="11" t="s">
        <v>346</v>
      </c>
      <c r="G49" s="9">
        <v>46295</v>
      </c>
      <c r="H49" s="9">
        <v>46296</v>
      </c>
      <c r="I49" s="7" t="s">
        <v>347</v>
      </c>
      <c r="J49" s="7"/>
      <c r="K49" s="7" t="s">
        <v>137</v>
      </c>
      <c r="L49" s="13" t="s">
        <v>138</v>
      </c>
      <c r="M49" s="7"/>
    </row>
    <row r="50" spans="1:13" ht="42" customHeight="1">
      <c r="A50" s="11" t="s">
        <v>348</v>
      </c>
      <c r="B50" s="7" t="s">
        <v>312</v>
      </c>
      <c r="C50" s="7" t="s">
        <v>338</v>
      </c>
      <c r="D50" s="7" t="s">
        <v>349</v>
      </c>
      <c r="E50" s="7" t="s">
        <v>350</v>
      </c>
      <c r="F50" s="11" t="s">
        <v>351</v>
      </c>
      <c r="G50" s="9">
        <v>46294</v>
      </c>
      <c r="H50" s="9">
        <v>46296</v>
      </c>
      <c r="I50" s="7" t="s">
        <v>352</v>
      </c>
      <c r="J50" s="7"/>
      <c r="K50" s="7" t="s">
        <v>137</v>
      </c>
      <c r="L50" s="13" t="s">
        <v>138</v>
      </c>
      <c r="M50" s="7"/>
    </row>
    <row r="51" spans="1:13" ht="42" customHeight="1">
      <c r="A51" s="11" t="s">
        <v>353</v>
      </c>
      <c r="B51" s="7" t="s">
        <v>312</v>
      </c>
      <c r="C51" s="7" t="s">
        <v>338</v>
      </c>
      <c r="D51" s="7" t="s">
        <v>354</v>
      </c>
      <c r="E51" s="7" t="s">
        <v>355</v>
      </c>
      <c r="F51" s="11" t="s">
        <v>356</v>
      </c>
      <c r="G51" s="9">
        <v>46296</v>
      </c>
      <c r="H51" s="9">
        <v>46297</v>
      </c>
      <c r="I51" s="7" t="s">
        <v>357</v>
      </c>
      <c r="J51" s="7"/>
      <c r="K51" s="7" t="s">
        <v>137</v>
      </c>
      <c r="L51" s="13" t="s">
        <v>138</v>
      </c>
      <c r="M51" s="7"/>
    </row>
    <row r="52" spans="1:13" ht="42" customHeight="1">
      <c r="A52" s="11" t="s">
        <v>358</v>
      </c>
      <c r="B52" s="7" t="s">
        <v>312</v>
      </c>
      <c r="C52" s="7" t="s">
        <v>338</v>
      </c>
      <c r="D52" s="7" t="s">
        <v>359</v>
      </c>
      <c r="E52" s="7" t="s">
        <v>360</v>
      </c>
      <c r="F52" s="11" t="s">
        <v>361</v>
      </c>
      <c r="G52" s="9">
        <v>46297</v>
      </c>
      <c r="H52" s="9">
        <v>46297</v>
      </c>
      <c r="I52" s="7" t="s">
        <v>362</v>
      </c>
      <c r="J52" s="7" t="s">
        <v>117</v>
      </c>
      <c r="K52" s="7" t="s">
        <v>137</v>
      </c>
      <c r="L52" s="13" t="s">
        <v>138</v>
      </c>
      <c r="M52" s="7"/>
    </row>
    <row r="53" spans="1:13" ht="42" customHeight="1">
      <c r="A53" s="11" t="s">
        <v>363</v>
      </c>
      <c r="B53" s="7" t="s">
        <v>364</v>
      </c>
      <c r="C53" s="7" t="s">
        <v>365</v>
      </c>
      <c r="D53" s="7" t="s">
        <v>366</v>
      </c>
      <c r="E53" s="7" t="s">
        <v>367</v>
      </c>
      <c r="F53" s="11" t="s">
        <v>368</v>
      </c>
      <c r="G53" s="9">
        <v>46300</v>
      </c>
      <c r="H53" s="9">
        <v>46300</v>
      </c>
      <c r="I53" s="7" t="s">
        <v>369</v>
      </c>
      <c r="J53" s="7" t="s">
        <v>370</v>
      </c>
      <c r="K53" s="7" t="s">
        <v>137</v>
      </c>
      <c r="L53" s="13" t="s">
        <v>138</v>
      </c>
      <c r="M53" s="7"/>
    </row>
    <row r="54" spans="1:13" ht="42" customHeight="1">
      <c r="A54" s="11" t="s">
        <v>371</v>
      </c>
      <c r="B54" s="7" t="s">
        <v>364</v>
      </c>
      <c r="C54" s="7" t="s">
        <v>365</v>
      </c>
      <c r="D54" s="7" t="s">
        <v>372</v>
      </c>
      <c r="E54" s="7" t="s">
        <v>373</v>
      </c>
      <c r="F54" s="11" t="s">
        <v>374</v>
      </c>
      <c r="G54" s="9">
        <v>46301</v>
      </c>
      <c r="H54" s="9">
        <v>46301</v>
      </c>
      <c r="I54" s="7" t="s">
        <v>375</v>
      </c>
      <c r="J54" s="7"/>
      <c r="K54" s="7" t="s">
        <v>137</v>
      </c>
      <c r="L54" s="13" t="s">
        <v>138</v>
      </c>
      <c r="M54" s="7"/>
    </row>
    <row r="55" spans="1:13" ht="42" customHeight="1">
      <c r="A55" s="11" t="s">
        <v>376</v>
      </c>
      <c r="B55" s="7" t="s">
        <v>364</v>
      </c>
      <c r="C55" s="7" t="s">
        <v>365</v>
      </c>
      <c r="D55" s="7" t="s">
        <v>377</v>
      </c>
      <c r="E55" s="7" t="s">
        <v>378</v>
      </c>
      <c r="F55" s="11" t="s">
        <v>379</v>
      </c>
      <c r="G55" s="9">
        <v>46301</v>
      </c>
      <c r="H55" s="9">
        <v>46302</v>
      </c>
      <c r="I55" s="7" t="s">
        <v>380</v>
      </c>
      <c r="J55" s="7"/>
      <c r="K55" s="7" t="s">
        <v>137</v>
      </c>
      <c r="L55" s="13" t="s">
        <v>138</v>
      </c>
      <c r="M55" s="7"/>
    </row>
    <row r="56" spans="1:13" ht="42" customHeight="1">
      <c r="A56" s="11" t="s">
        <v>381</v>
      </c>
      <c r="B56" s="7" t="s">
        <v>364</v>
      </c>
      <c r="C56" s="7" t="s">
        <v>365</v>
      </c>
      <c r="D56" s="7" t="s">
        <v>382</v>
      </c>
      <c r="E56" s="7" t="s">
        <v>383</v>
      </c>
      <c r="F56" s="11" t="s">
        <v>379</v>
      </c>
      <c r="G56" s="9">
        <v>46302</v>
      </c>
      <c r="H56" s="9">
        <v>46302</v>
      </c>
      <c r="I56" s="7" t="s">
        <v>384</v>
      </c>
      <c r="J56" s="7"/>
      <c r="K56" s="7" t="s">
        <v>137</v>
      </c>
      <c r="L56" s="13" t="s">
        <v>138</v>
      </c>
      <c r="M56" s="7"/>
    </row>
    <row r="57" spans="1:13" ht="42" customHeight="1">
      <c r="A57" s="11" t="s">
        <v>385</v>
      </c>
      <c r="B57" s="7" t="s">
        <v>364</v>
      </c>
      <c r="C57" s="7" t="s">
        <v>365</v>
      </c>
      <c r="D57" s="7" t="s">
        <v>386</v>
      </c>
      <c r="E57" s="7" t="s">
        <v>387</v>
      </c>
      <c r="F57" s="11" t="s">
        <v>388</v>
      </c>
      <c r="G57" s="9">
        <v>46302</v>
      </c>
      <c r="H57" s="9">
        <v>46303</v>
      </c>
      <c r="I57" s="7" t="s">
        <v>389</v>
      </c>
      <c r="J57" s="7" t="s">
        <v>390</v>
      </c>
      <c r="K57" s="7" t="s">
        <v>137</v>
      </c>
      <c r="L57" s="13" t="s">
        <v>138</v>
      </c>
      <c r="M57" s="7"/>
    </row>
    <row r="58" spans="1:13" ht="42" customHeight="1">
      <c r="A58" s="11" t="s">
        <v>391</v>
      </c>
      <c r="B58" s="7" t="s">
        <v>364</v>
      </c>
      <c r="C58" s="7" t="s">
        <v>365</v>
      </c>
      <c r="D58" s="7" t="s">
        <v>392</v>
      </c>
      <c r="E58" s="7" t="s">
        <v>393</v>
      </c>
      <c r="F58" s="11" t="s">
        <v>394</v>
      </c>
      <c r="G58" s="9">
        <v>46304</v>
      </c>
      <c r="H58" s="9">
        <v>46304</v>
      </c>
      <c r="I58" s="7" t="s">
        <v>395</v>
      </c>
      <c r="J58" s="7"/>
      <c r="K58" s="7" t="s">
        <v>148</v>
      </c>
      <c r="L58" s="13" t="s">
        <v>138</v>
      </c>
      <c r="M58" s="7"/>
    </row>
    <row r="59" spans="1:13" ht="42" customHeight="1">
      <c r="A59" s="11" t="s">
        <v>396</v>
      </c>
      <c r="B59" s="7" t="s">
        <v>364</v>
      </c>
      <c r="C59" s="7" t="s">
        <v>397</v>
      </c>
      <c r="D59" s="7" t="s">
        <v>398</v>
      </c>
      <c r="E59" s="7" t="s">
        <v>399</v>
      </c>
      <c r="F59" s="11" t="s">
        <v>394</v>
      </c>
      <c r="G59" s="9">
        <v>46307</v>
      </c>
      <c r="H59" s="9">
        <v>46307</v>
      </c>
      <c r="I59" s="7" t="s">
        <v>400</v>
      </c>
      <c r="J59" s="7" t="s">
        <v>401</v>
      </c>
      <c r="K59" s="7" t="s">
        <v>137</v>
      </c>
      <c r="L59" s="13" t="s">
        <v>138</v>
      </c>
      <c r="M59" s="7"/>
    </row>
    <row r="60" spans="1:13" ht="42" customHeight="1">
      <c r="A60" s="11" t="s">
        <v>402</v>
      </c>
      <c r="B60" s="7" t="s">
        <v>364</v>
      </c>
      <c r="C60" s="7" t="s">
        <v>397</v>
      </c>
      <c r="D60" s="7" t="s">
        <v>403</v>
      </c>
      <c r="E60" s="7" t="s">
        <v>404</v>
      </c>
      <c r="F60" s="11" t="s">
        <v>405</v>
      </c>
      <c r="G60" s="9">
        <v>46308</v>
      </c>
      <c r="H60" s="9">
        <v>46308</v>
      </c>
      <c r="I60" s="7" t="s">
        <v>406</v>
      </c>
      <c r="J60" s="7"/>
      <c r="K60" s="7" t="s">
        <v>137</v>
      </c>
      <c r="L60" s="13" t="s">
        <v>138</v>
      </c>
      <c r="M60" s="7"/>
    </row>
    <row r="61" spans="1:13" ht="42" customHeight="1">
      <c r="A61" s="11" t="s">
        <v>407</v>
      </c>
      <c r="B61" s="7" t="s">
        <v>364</v>
      </c>
      <c r="C61" s="7" t="s">
        <v>397</v>
      </c>
      <c r="D61" s="7" t="s">
        <v>408</v>
      </c>
      <c r="E61" s="7" t="s">
        <v>409</v>
      </c>
      <c r="F61" s="11" t="s">
        <v>410</v>
      </c>
      <c r="G61" s="9">
        <v>46308</v>
      </c>
      <c r="H61" s="9">
        <v>46309</v>
      </c>
      <c r="I61" s="7" t="s">
        <v>411</v>
      </c>
      <c r="J61" s="7"/>
      <c r="K61" s="7" t="s">
        <v>137</v>
      </c>
      <c r="L61" s="13" t="s">
        <v>138</v>
      </c>
      <c r="M61" s="7"/>
    </row>
    <row r="62" spans="1:13" ht="42" customHeight="1">
      <c r="A62" s="11" t="s">
        <v>412</v>
      </c>
      <c r="B62" s="7" t="s">
        <v>364</v>
      </c>
      <c r="C62" s="7" t="s">
        <v>397</v>
      </c>
      <c r="D62" s="7" t="s">
        <v>413</v>
      </c>
      <c r="E62" s="7" t="s">
        <v>414</v>
      </c>
      <c r="F62" s="11" t="s">
        <v>410</v>
      </c>
      <c r="G62" s="9">
        <v>46309</v>
      </c>
      <c r="H62" s="9">
        <v>46309</v>
      </c>
      <c r="I62" s="7" t="s">
        <v>415</v>
      </c>
      <c r="J62" s="7"/>
      <c r="K62" s="7" t="s">
        <v>137</v>
      </c>
      <c r="L62" s="13" t="s">
        <v>138</v>
      </c>
      <c r="M62" s="7"/>
    </row>
    <row r="63" spans="1:13" ht="42" customHeight="1">
      <c r="A63" s="11" t="s">
        <v>416</v>
      </c>
      <c r="B63" s="7" t="s">
        <v>364</v>
      </c>
      <c r="C63" s="7" t="s">
        <v>397</v>
      </c>
      <c r="D63" s="7" t="s">
        <v>417</v>
      </c>
      <c r="E63" s="7" t="s">
        <v>418</v>
      </c>
      <c r="F63" s="11" t="s">
        <v>419</v>
      </c>
      <c r="G63" s="9">
        <v>46309</v>
      </c>
      <c r="H63" s="9">
        <v>46310</v>
      </c>
      <c r="I63" s="7" t="s">
        <v>420</v>
      </c>
      <c r="J63" s="7" t="s">
        <v>421</v>
      </c>
      <c r="K63" s="7" t="s">
        <v>137</v>
      </c>
      <c r="L63" s="13" t="s">
        <v>138</v>
      </c>
      <c r="M63" s="7"/>
    </row>
    <row r="64" spans="1:13" ht="42" customHeight="1">
      <c r="A64" s="11" t="s">
        <v>422</v>
      </c>
      <c r="B64" s="7" t="s">
        <v>364</v>
      </c>
      <c r="C64" s="7" t="s">
        <v>397</v>
      </c>
      <c r="D64" s="7" t="s">
        <v>423</v>
      </c>
      <c r="E64" s="7" t="s">
        <v>424</v>
      </c>
      <c r="F64" s="11" t="s">
        <v>425</v>
      </c>
      <c r="G64" s="9">
        <v>46311</v>
      </c>
      <c r="H64" s="9">
        <v>46311</v>
      </c>
      <c r="I64" s="7" t="s">
        <v>426</v>
      </c>
      <c r="J64" s="7"/>
      <c r="K64" s="7" t="s">
        <v>148</v>
      </c>
      <c r="L64" s="13" t="s">
        <v>138</v>
      </c>
      <c r="M64" s="7"/>
    </row>
    <row r="65" spans="1:13" ht="42" customHeight="1">
      <c r="A65" s="11" t="s">
        <v>427</v>
      </c>
      <c r="B65" s="7" t="s">
        <v>364</v>
      </c>
      <c r="C65" s="7" t="s">
        <v>428</v>
      </c>
      <c r="D65" s="7" t="s">
        <v>429</v>
      </c>
      <c r="E65" s="7" t="s">
        <v>430</v>
      </c>
      <c r="F65" s="11" t="s">
        <v>425</v>
      </c>
      <c r="G65" s="9">
        <v>46314</v>
      </c>
      <c r="H65" s="9">
        <v>46314</v>
      </c>
      <c r="I65" s="7" t="s">
        <v>431</v>
      </c>
      <c r="J65" s="7" t="s">
        <v>432</v>
      </c>
      <c r="K65" s="7" t="s">
        <v>137</v>
      </c>
      <c r="L65" s="13" t="s">
        <v>138</v>
      </c>
      <c r="M65" s="7"/>
    </row>
    <row r="66" spans="1:13" ht="42" customHeight="1">
      <c r="A66" s="11" t="s">
        <v>433</v>
      </c>
      <c r="B66" s="7" t="s">
        <v>364</v>
      </c>
      <c r="C66" s="7" t="s">
        <v>428</v>
      </c>
      <c r="D66" s="7" t="s">
        <v>434</v>
      </c>
      <c r="E66" s="7" t="s">
        <v>435</v>
      </c>
      <c r="F66" s="11" t="s">
        <v>436</v>
      </c>
      <c r="G66" s="9">
        <v>46315</v>
      </c>
      <c r="H66" s="9">
        <v>46315</v>
      </c>
      <c r="I66" s="7" t="s">
        <v>437</v>
      </c>
      <c r="J66" s="7"/>
      <c r="K66" s="7" t="s">
        <v>137</v>
      </c>
      <c r="L66" s="13" t="s">
        <v>138</v>
      </c>
      <c r="M66" s="7"/>
    </row>
    <row r="67" spans="1:13" ht="42" customHeight="1">
      <c r="A67" s="11" t="s">
        <v>438</v>
      </c>
      <c r="B67" s="7" t="s">
        <v>364</v>
      </c>
      <c r="C67" s="7" t="s">
        <v>428</v>
      </c>
      <c r="D67" s="7" t="s">
        <v>439</v>
      </c>
      <c r="E67" s="7" t="s">
        <v>440</v>
      </c>
      <c r="F67" s="11" t="s">
        <v>441</v>
      </c>
      <c r="G67" s="9">
        <v>46315</v>
      </c>
      <c r="H67" s="9">
        <v>46316</v>
      </c>
      <c r="I67" s="7" t="s">
        <v>442</v>
      </c>
      <c r="J67" s="7"/>
      <c r="K67" s="7" t="s">
        <v>137</v>
      </c>
      <c r="L67" s="13" t="s">
        <v>138</v>
      </c>
      <c r="M67" s="7"/>
    </row>
    <row r="68" spans="1:13" ht="42" customHeight="1">
      <c r="A68" s="11" t="s">
        <v>443</v>
      </c>
      <c r="B68" s="7" t="s">
        <v>364</v>
      </c>
      <c r="C68" s="7" t="s">
        <v>428</v>
      </c>
      <c r="D68" s="7" t="s">
        <v>444</v>
      </c>
      <c r="E68" s="7" t="s">
        <v>445</v>
      </c>
      <c r="F68" s="11" t="s">
        <v>441</v>
      </c>
      <c r="G68" s="9">
        <v>46316</v>
      </c>
      <c r="H68" s="9">
        <v>46316</v>
      </c>
      <c r="I68" s="7" t="s">
        <v>446</v>
      </c>
      <c r="J68" s="7"/>
      <c r="K68" s="7" t="s">
        <v>137</v>
      </c>
      <c r="L68" s="13" t="s">
        <v>138</v>
      </c>
      <c r="M68" s="7"/>
    </row>
    <row r="69" spans="1:13" ht="42" customHeight="1">
      <c r="A69" s="11" t="s">
        <v>447</v>
      </c>
      <c r="B69" s="7" t="s">
        <v>364</v>
      </c>
      <c r="C69" s="7" t="s">
        <v>428</v>
      </c>
      <c r="D69" s="7" t="s">
        <v>448</v>
      </c>
      <c r="E69" s="7" t="s">
        <v>449</v>
      </c>
      <c r="F69" s="11" t="s">
        <v>450</v>
      </c>
      <c r="G69" s="9">
        <v>46316</v>
      </c>
      <c r="H69" s="9">
        <v>46318</v>
      </c>
      <c r="I69" s="7" t="s">
        <v>451</v>
      </c>
      <c r="J69" s="7"/>
      <c r="K69" s="7" t="s">
        <v>137</v>
      </c>
      <c r="L69" s="13" t="s">
        <v>138</v>
      </c>
      <c r="M69" s="7"/>
    </row>
    <row r="70" spans="1:13" ht="42" customHeight="1">
      <c r="A70" s="11" t="s">
        <v>452</v>
      </c>
      <c r="B70" s="7" t="s">
        <v>364</v>
      </c>
      <c r="C70" s="7" t="s">
        <v>428</v>
      </c>
      <c r="D70" s="7" t="s">
        <v>453</v>
      </c>
      <c r="E70" s="7" t="s">
        <v>454</v>
      </c>
      <c r="F70" s="11" t="s">
        <v>455</v>
      </c>
      <c r="G70" s="9">
        <v>46318</v>
      </c>
      <c r="H70" s="9">
        <v>46318</v>
      </c>
      <c r="I70" s="7" t="s">
        <v>456</v>
      </c>
      <c r="J70" s="7" t="s">
        <v>457</v>
      </c>
      <c r="K70" s="7" t="s">
        <v>137</v>
      </c>
      <c r="L70" s="13" t="s">
        <v>138</v>
      </c>
      <c r="M70" s="7"/>
    </row>
    <row r="71" spans="1:13" ht="42" customHeight="1">
      <c r="A71" s="11" t="s">
        <v>458</v>
      </c>
      <c r="B71" s="7" t="s">
        <v>459</v>
      </c>
      <c r="C71" s="7" t="s">
        <v>460</v>
      </c>
      <c r="D71" s="7" t="s">
        <v>461</v>
      </c>
      <c r="E71" s="7" t="s">
        <v>462</v>
      </c>
      <c r="F71" s="11" t="s">
        <v>450</v>
      </c>
      <c r="G71" s="9">
        <v>46321</v>
      </c>
      <c r="H71" s="9">
        <v>46321</v>
      </c>
      <c r="I71" s="7" t="s">
        <v>463</v>
      </c>
      <c r="J71" s="7"/>
      <c r="K71" s="7" t="s">
        <v>148</v>
      </c>
      <c r="L71" s="13" t="s">
        <v>138</v>
      </c>
      <c r="M71" s="7"/>
    </row>
    <row r="72" spans="1:13" ht="42" customHeight="1">
      <c r="A72" s="11" t="s">
        <v>464</v>
      </c>
      <c r="B72" s="7" t="s">
        <v>459</v>
      </c>
      <c r="C72" s="7" t="s">
        <v>460</v>
      </c>
      <c r="D72" s="7" t="s">
        <v>465</v>
      </c>
      <c r="E72" s="7" t="s">
        <v>466</v>
      </c>
      <c r="F72" s="11" t="s">
        <v>450</v>
      </c>
      <c r="G72" s="9">
        <v>46321</v>
      </c>
      <c r="H72" s="9">
        <v>46321</v>
      </c>
      <c r="I72" s="7" t="s">
        <v>467</v>
      </c>
      <c r="J72" s="7"/>
      <c r="K72" s="7" t="s">
        <v>137</v>
      </c>
      <c r="L72" s="13" t="s">
        <v>138</v>
      </c>
      <c r="M72" s="7"/>
    </row>
    <row r="73" spans="1:13" ht="42" customHeight="1">
      <c r="A73" s="11" t="s">
        <v>468</v>
      </c>
      <c r="B73" s="7" t="s">
        <v>459</v>
      </c>
      <c r="C73" s="7" t="s">
        <v>460</v>
      </c>
      <c r="D73" s="7" t="s">
        <v>469</v>
      </c>
      <c r="E73" s="7" t="s">
        <v>470</v>
      </c>
      <c r="F73" s="11" t="s">
        <v>450</v>
      </c>
      <c r="G73" s="9">
        <v>46321</v>
      </c>
      <c r="H73" s="9">
        <v>46322</v>
      </c>
      <c r="I73" s="7" t="s">
        <v>471</v>
      </c>
      <c r="J73" s="7"/>
      <c r="K73" s="7" t="s">
        <v>148</v>
      </c>
      <c r="L73" s="13" t="s">
        <v>138</v>
      </c>
      <c r="M73" s="7"/>
    </row>
    <row r="74" spans="1:13" ht="42" customHeight="1">
      <c r="A74" s="11" t="s">
        <v>472</v>
      </c>
      <c r="B74" s="7" t="s">
        <v>459</v>
      </c>
      <c r="C74" s="7" t="s">
        <v>460</v>
      </c>
      <c r="D74" s="7" t="s">
        <v>473</v>
      </c>
      <c r="E74" s="7" t="s">
        <v>474</v>
      </c>
      <c r="F74" s="11" t="s">
        <v>475</v>
      </c>
      <c r="G74" s="9">
        <v>46322</v>
      </c>
      <c r="H74" s="9">
        <v>46322</v>
      </c>
      <c r="I74" s="7" t="s">
        <v>476</v>
      </c>
      <c r="J74" s="7"/>
      <c r="K74" s="7" t="s">
        <v>137</v>
      </c>
      <c r="L74" s="13" t="s">
        <v>138</v>
      </c>
      <c r="M74" s="7"/>
    </row>
    <row r="75" spans="1:13" ht="42" customHeight="1">
      <c r="A75" s="11" t="s">
        <v>477</v>
      </c>
      <c r="B75" s="7" t="s">
        <v>459</v>
      </c>
      <c r="C75" s="7" t="s">
        <v>460</v>
      </c>
      <c r="D75" s="7" t="s">
        <v>478</v>
      </c>
      <c r="E75" s="7" t="s">
        <v>479</v>
      </c>
      <c r="F75" s="11" t="s">
        <v>480</v>
      </c>
      <c r="G75" s="9">
        <v>46322</v>
      </c>
      <c r="H75" s="9">
        <v>46323</v>
      </c>
      <c r="I75" s="7" t="s">
        <v>481</v>
      </c>
      <c r="J75" s="7"/>
      <c r="K75" s="7" t="s">
        <v>148</v>
      </c>
      <c r="L75" s="13" t="s">
        <v>138</v>
      </c>
      <c r="M75" s="7"/>
    </row>
    <row r="76" spans="1:13" ht="42" customHeight="1">
      <c r="A76" s="11" t="s">
        <v>482</v>
      </c>
      <c r="B76" s="7" t="s">
        <v>459</v>
      </c>
      <c r="C76" s="7" t="s">
        <v>460</v>
      </c>
      <c r="D76" s="7" t="s">
        <v>483</v>
      </c>
      <c r="E76" s="7" t="s">
        <v>484</v>
      </c>
      <c r="F76" s="11" t="s">
        <v>485</v>
      </c>
      <c r="G76" s="9">
        <v>46323</v>
      </c>
      <c r="H76" s="9">
        <v>46324</v>
      </c>
      <c r="I76" s="7" t="s">
        <v>486</v>
      </c>
      <c r="J76" s="7"/>
      <c r="K76" s="7" t="s">
        <v>137</v>
      </c>
      <c r="L76" s="13" t="s">
        <v>138</v>
      </c>
      <c r="M76" s="7"/>
    </row>
    <row r="77" spans="1:13" ht="42" customHeight="1">
      <c r="A77" s="11" t="s">
        <v>487</v>
      </c>
      <c r="B77" s="7" t="s">
        <v>459</v>
      </c>
      <c r="C77" s="7" t="s">
        <v>460</v>
      </c>
      <c r="D77" s="7" t="s">
        <v>488</v>
      </c>
      <c r="E77" s="7" t="s">
        <v>489</v>
      </c>
      <c r="F77" s="11" t="s">
        <v>490</v>
      </c>
      <c r="G77" s="9">
        <v>46324</v>
      </c>
      <c r="H77" s="9">
        <v>46324</v>
      </c>
      <c r="I77" s="7" t="s">
        <v>491</v>
      </c>
      <c r="J77" s="7"/>
      <c r="K77" s="7" t="s">
        <v>137</v>
      </c>
      <c r="L77" s="13" t="s">
        <v>138</v>
      </c>
      <c r="M77" s="7"/>
    </row>
    <row r="78" spans="1:13" ht="42" customHeight="1">
      <c r="A78" s="11" t="s">
        <v>492</v>
      </c>
      <c r="B78" s="7" t="s">
        <v>459</v>
      </c>
      <c r="C78" s="7" t="s">
        <v>460</v>
      </c>
      <c r="D78" s="7" t="s">
        <v>493</v>
      </c>
      <c r="E78" s="7" t="s">
        <v>494</v>
      </c>
      <c r="F78" s="11" t="s">
        <v>495</v>
      </c>
      <c r="G78" s="9">
        <v>46324</v>
      </c>
      <c r="H78" s="9">
        <v>46324</v>
      </c>
      <c r="I78" s="7" t="s">
        <v>496</v>
      </c>
      <c r="J78" s="7" t="s">
        <v>497</v>
      </c>
      <c r="K78" s="7" t="s">
        <v>137</v>
      </c>
      <c r="L78" s="13" t="s">
        <v>138</v>
      </c>
      <c r="M78" s="7"/>
    </row>
    <row r="79" spans="1:13" ht="42" customHeight="1">
      <c r="A79" s="11" t="s">
        <v>498</v>
      </c>
      <c r="B79" s="7" t="s">
        <v>499</v>
      </c>
      <c r="C79" s="7" t="s">
        <v>460</v>
      </c>
      <c r="D79" s="7" t="s">
        <v>500</v>
      </c>
      <c r="E79" s="7" t="s">
        <v>501</v>
      </c>
      <c r="F79" s="11" t="s">
        <v>502</v>
      </c>
      <c r="G79" s="9">
        <v>46321</v>
      </c>
      <c r="H79" s="9">
        <v>46324</v>
      </c>
      <c r="I79" s="7" t="s">
        <v>503</v>
      </c>
      <c r="J79" s="7"/>
      <c r="K79" s="7" t="s">
        <v>148</v>
      </c>
      <c r="L79" s="13" t="s">
        <v>138</v>
      </c>
      <c r="M79" s="7"/>
    </row>
    <row r="80" spans="1:13" ht="42" customHeight="1">
      <c r="A80" s="11" t="s">
        <v>504</v>
      </c>
      <c r="B80" s="7" t="s">
        <v>499</v>
      </c>
      <c r="C80" s="7" t="s">
        <v>460</v>
      </c>
      <c r="D80" s="7" t="s">
        <v>505</v>
      </c>
      <c r="E80" s="7" t="s">
        <v>506</v>
      </c>
      <c r="F80" s="11" t="s">
        <v>507</v>
      </c>
      <c r="G80" s="9">
        <v>46321</v>
      </c>
      <c r="H80" s="9">
        <v>46324</v>
      </c>
      <c r="I80" s="7" t="s">
        <v>508</v>
      </c>
      <c r="J80" s="7"/>
      <c r="K80" s="7" t="s">
        <v>137</v>
      </c>
      <c r="L80" s="13" t="s">
        <v>138</v>
      </c>
      <c r="M80" s="7"/>
    </row>
    <row r="81" spans="1:13" ht="42" customHeight="1">
      <c r="A81" s="11" t="s">
        <v>509</v>
      </c>
      <c r="B81" s="7" t="s">
        <v>499</v>
      </c>
      <c r="C81" s="7" t="s">
        <v>460</v>
      </c>
      <c r="D81" s="7" t="s">
        <v>510</v>
      </c>
      <c r="E81" s="7" t="s">
        <v>511</v>
      </c>
      <c r="F81" s="11" t="s">
        <v>512</v>
      </c>
      <c r="G81" s="9">
        <v>46321</v>
      </c>
      <c r="H81" s="9">
        <v>46324</v>
      </c>
      <c r="I81" s="7" t="s">
        <v>513</v>
      </c>
      <c r="J81" s="7"/>
      <c r="K81" s="7" t="s">
        <v>137</v>
      </c>
      <c r="L81" s="13" t="s">
        <v>138</v>
      </c>
      <c r="M81" s="7"/>
    </row>
    <row r="82" spans="1:13" ht="42" customHeight="1">
      <c r="A82" s="11" t="s">
        <v>514</v>
      </c>
      <c r="B82" s="7" t="s">
        <v>499</v>
      </c>
      <c r="C82" s="7" t="s">
        <v>460</v>
      </c>
      <c r="D82" s="7" t="s">
        <v>515</v>
      </c>
      <c r="E82" s="7" t="s">
        <v>516</v>
      </c>
      <c r="F82" s="11" t="s">
        <v>517</v>
      </c>
      <c r="G82" s="9">
        <v>46323</v>
      </c>
      <c r="H82" s="9">
        <v>46324</v>
      </c>
      <c r="I82" s="7" t="s">
        <v>518</v>
      </c>
      <c r="J82" s="7"/>
      <c r="K82" s="7" t="s">
        <v>137</v>
      </c>
      <c r="L82" s="13" t="s">
        <v>138</v>
      </c>
      <c r="M82" s="7"/>
    </row>
    <row r="83" spans="1:13" ht="42" customHeight="1">
      <c r="A83" s="11" t="s">
        <v>519</v>
      </c>
      <c r="B83" s="7" t="s">
        <v>499</v>
      </c>
      <c r="C83" s="7" t="s">
        <v>460</v>
      </c>
      <c r="D83" s="7" t="s">
        <v>520</v>
      </c>
      <c r="E83" s="7" t="s">
        <v>521</v>
      </c>
      <c r="F83" s="11" t="s">
        <v>522</v>
      </c>
      <c r="G83" s="9">
        <v>46323</v>
      </c>
      <c r="H83" s="9">
        <v>46324</v>
      </c>
      <c r="I83" s="7" t="s">
        <v>523</v>
      </c>
      <c r="J83" s="7"/>
      <c r="K83" s="7" t="s">
        <v>137</v>
      </c>
      <c r="L83" s="13" t="s">
        <v>138</v>
      </c>
      <c r="M83" s="7"/>
    </row>
    <row r="84" spans="1:13" ht="42" customHeight="1">
      <c r="A84" s="11" t="s">
        <v>524</v>
      </c>
      <c r="B84" s="7" t="s">
        <v>499</v>
      </c>
      <c r="C84" s="7" t="s">
        <v>460</v>
      </c>
      <c r="D84" s="7" t="s">
        <v>525</v>
      </c>
      <c r="E84" s="7" t="s">
        <v>526</v>
      </c>
      <c r="F84" s="11" t="s">
        <v>527</v>
      </c>
      <c r="G84" s="9">
        <v>46323</v>
      </c>
      <c r="H84" s="9">
        <v>46324</v>
      </c>
      <c r="I84" s="7" t="s">
        <v>528</v>
      </c>
      <c r="J84" s="7"/>
      <c r="K84" s="7" t="s">
        <v>137</v>
      </c>
      <c r="L84" s="13" t="s">
        <v>138</v>
      </c>
      <c r="M84" s="7"/>
    </row>
    <row r="85" spans="1:13" ht="42" customHeight="1">
      <c r="A85" s="11" t="s">
        <v>529</v>
      </c>
      <c r="B85" s="7" t="s">
        <v>499</v>
      </c>
      <c r="C85" s="7" t="s">
        <v>460</v>
      </c>
      <c r="D85" s="7" t="s">
        <v>530</v>
      </c>
      <c r="E85" s="7" t="s">
        <v>531</v>
      </c>
      <c r="F85" s="11" t="s">
        <v>532</v>
      </c>
      <c r="G85" s="9">
        <v>46324</v>
      </c>
      <c r="H85" s="9">
        <v>46324</v>
      </c>
      <c r="I85" s="7" t="s">
        <v>533</v>
      </c>
      <c r="J85" s="7"/>
      <c r="K85" s="7" t="s">
        <v>137</v>
      </c>
      <c r="L85" s="13" t="s">
        <v>138</v>
      </c>
      <c r="M85" s="7"/>
    </row>
    <row r="86" spans="1:13" ht="42" customHeight="1">
      <c r="A86" s="11" t="s">
        <v>534</v>
      </c>
      <c r="B86" s="7" t="s">
        <v>499</v>
      </c>
      <c r="C86" s="7" t="s">
        <v>460</v>
      </c>
      <c r="D86" s="7" t="s">
        <v>535</v>
      </c>
      <c r="E86" s="7" t="s">
        <v>536</v>
      </c>
      <c r="F86" s="11" t="s">
        <v>537</v>
      </c>
      <c r="G86" s="9">
        <v>46324</v>
      </c>
      <c r="H86" s="9">
        <v>46324</v>
      </c>
      <c r="I86" s="7" t="s">
        <v>538</v>
      </c>
      <c r="J86" s="7"/>
      <c r="K86" s="7" t="s">
        <v>148</v>
      </c>
      <c r="L86" s="13" t="s">
        <v>138</v>
      </c>
      <c r="M86" s="7"/>
    </row>
    <row r="87" spans="1:13" ht="42" customHeight="1">
      <c r="A87" s="11" t="s">
        <v>539</v>
      </c>
      <c r="B87" s="7" t="s">
        <v>499</v>
      </c>
      <c r="C87" s="7" t="s">
        <v>460</v>
      </c>
      <c r="D87" s="7" t="s">
        <v>540</v>
      </c>
      <c r="E87" s="7" t="s">
        <v>541</v>
      </c>
      <c r="F87" s="11" t="s">
        <v>542</v>
      </c>
      <c r="G87" s="9">
        <v>46325</v>
      </c>
      <c r="H87" s="9">
        <v>46325</v>
      </c>
      <c r="I87" s="7" t="s">
        <v>543</v>
      </c>
      <c r="J87" s="7" t="s">
        <v>544</v>
      </c>
      <c r="K87" s="7" t="s">
        <v>137</v>
      </c>
      <c r="L87" s="13" t="s">
        <v>138</v>
      </c>
      <c r="M87" s="7"/>
    </row>
  </sheetData>
  <mergeCells count="2">
    <mergeCell ref="A1:M2"/>
    <mergeCell ref="A3:M3"/>
  </mergeCells>
  <dataValidations count="2">
    <dataValidation type="list" sqref="L6:L87" xr:uid="{00000000-0002-0000-0100-000000000000}">
      <formula1>"Chưa bắt đầu,Đang thực hiện,Hoàn thành,BLOCK,N/A"</formula1>
    </dataValidation>
    <dataValidation type="list" sqref="K6:K87" xr:uid="{00000000-0002-0000-0100-000001000000}">
      <formula1>"Critical,High,Medium,Low"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D87"/>
  <sheetViews>
    <sheetView showGridLines="0" workbookViewId="0"/>
  </sheetViews>
  <sheetFormatPr defaultRowHeight="13.7"/>
  <cols>
    <col min="1" max="1" width="12" customWidth="1"/>
    <col min="2" max="2" width="8" customWidth="1"/>
    <col min="3" max="3" width="24" customWidth="1"/>
    <col min="4" max="4" width="48" customWidth="1"/>
    <col min="5" max="6" width="12" customWidth="1"/>
    <col min="7" max="56" width="4" customWidth="1"/>
  </cols>
  <sheetData>
    <row r="1" spans="1:56" ht="24" customHeight="1">
      <c r="A1" s="41" t="s">
        <v>545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</row>
    <row r="2" spans="1:56" ht="24" customHeight="1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  <c r="AY2" s="42"/>
      <c r="AZ2" s="42"/>
      <c r="BA2" s="42"/>
      <c r="BB2" s="42"/>
      <c r="BC2" s="42"/>
      <c r="BD2" s="42"/>
    </row>
    <row r="3" spans="1:56" ht="22" customHeight="1">
      <c r="A3" s="43" t="s">
        <v>546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4"/>
      <c r="AL3" s="44"/>
      <c r="AM3" s="44"/>
      <c r="AN3" s="44"/>
      <c r="AO3" s="44"/>
      <c r="AP3" s="44"/>
      <c r="AQ3" s="44"/>
      <c r="AR3" s="44"/>
      <c r="AS3" s="44"/>
      <c r="AT3" s="44"/>
      <c r="AU3" s="44"/>
      <c r="AV3" s="44"/>
      <c r="AW3" s="44"/>
      <c r="AX3" s="44"/>
      <c r="AY3" s="44"/>
      <c r="AZ3" s="44"/>
      <c r="BA3" s="44"/>
      <c r="BB3" s="44"/>
      <c r="BC3" s="44"/>
      <c r="BD3" s="44"/>
    </row>
    <row r="4" spans="1:56">
      <c r="A4" s="40" t="s">
        <v>31</v>
      </c>
      <c r="B4" s="40" t="s">
        <v>27</v>
      </c>
      <c r="C4" s="40" t="s">
        <v>26</v>
      </c>
      <c r="D4" s="40" t="s">
        <v>32</v>
      </c>
      <c r="E4" s="40" t="s">
        <v>35</v>
      </c>
      <c r="F4" s="40" t="s">
        <v>36</v>
      </c>
      <c r="G4" s="45" t="s">
        <v>547</v>
      </c>
      <c r="H4" s="45"/>
      <c r="I4" s="45"/>
      <c r="J4" s="45"/>
      <c r="K4" s="45"/>
      <c r="L4" s="46" t="s">
        <v>548</v>
      </c>
      <c r="M4" s="46"/>
      <c r="N4" s="46"/>
      <c r="O4" s="46"/>
      <c r="P4" s="46"/>
      <c r="Q4" s="45" t="s">
        <v>549</v>
      </c>
      <c r="R4" s="45"/>
      <c r="S4" s="45"/>
      <c r="T4" s="45"/>
      <c r="U4" s="45"/>
      <c r="V4" s="46" t="s">
        <v>550</v>
      </c>
      <c r="W4" s="46"/>
      <c r="X4" s="46"/>
      <c r="Y4" s="46"/>
      <c r="Z4" s="46"/>
      <c r="AA4" s="45" t="s">
        <v>551</v>
      </c>
      <c r="AB4" s="45"/>
      <c r="AC4" s="45"/>
      <c r="AD4" s="45"/>
      <c r="AE4" s="45"/>
      <c r="AF4" s="46" t="s">
        <v>552</v>
      </c>
      <c r="AG4" s="46"/>
      <c r="AH4" s="46"/>
      <c r="AI4" s="46"/>
      <c r="AJ4" s="46"/>
      <c r="AK4" s="45" t="s">
        <v>553</v>
      </c>
      <c r="AL4" s="45"/>
      <c r="AM4" s="45"/>
      <c r="AN4" s="45"/>
      <c r="AO4" s="45"/>
      <c r="AP4" s="46" t="s">
        <v>554</v>
      </c>
      <c r="AQ4" s="46"/>
      <c r="AR4" s="46"/>
      <c r="AS4" s="46"/>
      <c r="AT4" s="46"/>
      <c r="AU4" s="45" t="s">
        <v>555</v>
      </c>
      <c r="AV4" s="45"/>
      <c r="AW4" s="45"/>
      <c r="AX4" s="45"/>
      <c r="AY4" s="45"/>
      <c r="AZ4" s="46" t="s">
        <v>556</v>
      </c>
      <c r="BA4" s="46"/>
      <c r="BB4" s="46"/>
      <c r="BC4" s="46"/>
      <c r="BD4" s="46"/>
    </row>
    <row r="5" spans="1:56">
      <c r="A5" s="40"/>
      <c r="B5" s="40"/>
      <c r="C5" s="40"/>
      <c r="D5" s="40"/>
      <c r="E5" s="40"/>
      <c r="F5" s="40"/>
      <c r="G5" s="17">
        <v>46258</v>
      </c>
      <c r="H5" s="17">
        <v>46259</v>
      </c>
      <c r="I5" s="17">
        <v>46260</v>
      </c>
      <c r="J5" s="17">
        <v>46261</v>
      </c>
      <c r="K5" s="17">
        <v>46262</v>
      </c>
      <c r="L5" s="17">
        <v>46265</v>
      </c>
      <c r="M5" s="17">
        <v>46266</v>
      </c>
      <c r="N5" s="17">
        <v>46267</v>
      </c>
      <c r="O5" s="17">
        <v>46268</v>
      </c>
      <c r="P5" s="17">
        <v>46269</v>
      </c>
      <c r="Q5" s="17">
        <v>46272</v>
      </c>
      <c r="R5" s="17">
        <v>46273</v>
      </c>
      <c r="S5" s="17">
        <v>46274</v>
      </c>
      <c r="T5" s="17">
        <v>46275</v>
      </c>
      <c r="U5" s="17">
        <v>46276</v>
      </c>
      <c r="V5" s="17">
        <v>46279</v>
      </c>
      <c r="W5" s="17">
        <v>46280</v>
      </c>
      <c r="X5" s="17">
        <v>46281</v>
      </c>
      <c r="Y5" s="17">
        <v>46282</v>
      </c>
      <c r="Z5" s="17">
        <v>46283</v>
      </c>
      <c r="AA5" s="17">
        <v>46286</v>
      </c>
      <c r="AB5" s="17">
        <v>46287</v>
      </c>
      <c r="AC5" s="17">
        <v>46288</v>
      </c>
      <c r="AD5" s="17">
        <v>46289</v>
      </c>
      <c r="AE5" s="17">
        <v>46290</v>
      </c>
      <c r="AF5" s="17">
        <v>46293</v>
      </c>
      <c r="AG5" s="17">
        <v>46294</v>
      </c>
      <c r="AH5" s="17">
        <v>46295</v>
      </c>
      <c r="AI5" s="17">
        <v>46296</v>
      </c>
      <c r="AJ5" s="17">
        <v>46297</v>
      </c>
      <c r="AK5" s="17">
        <v>46300</v>
      </c>
      <c r="AL5" s="17">
        <v>46301</v>
      </c>
      <c r="AM5" s="17">
        <v>46302</v>
      </c>
      <c r="AN5" s="17">
        <v>46303</v>
      </c>
      <c r="AO5" s="17">
        <v>46304</v>
      </c>
      <c r="AP5" s="17">
        <v>46307</v>
      </c>
      <c r="AQ5" s="17">
        <v>46308</v>
      </c>
      <c r="AR5" s="17">
        <v>46309</v>
      </c>
      <c r="AS5" s="17">
        <v>46310</v>
      </c>
      <c r="AT5" s="17">
        <v>46311</v>
      </c>
      <c r="AU5" s="17">
        <v>46314</v>
      </c>
      <c r="AV5" s="17">
        <v>46315</v>
      </c>
      <c r="AW5" s="17">
        <v>46316</v>
      </c>
      <c r="AX5" s="17">
        <v>46317</v>
      </c>
      <c r="AY5" s="17">
        <v>46318</v>
      </c>
      <c r="AZ5" s="17">
        <v>46321</v>
      </c>
      <c r="BA5" s="17">
        <v>46322</v>
      </c>
      <c r="BB5" s="17">
        <v>46323</v>
      </c>
      <c r="BC5" s="17">
        <v>46324</v>
      </c>
      <c r="BD5" s="17">
        <v>46325</v>
      </c>
    </row>
    <row r="6" spans="1:56" ht="24" customHeight="1">
      <c r="A6" s="10" t="str">
        <f>'01_KeHoach'!A6</f>
        <v>WBS-1.1</v>
      </c>
      <c r="B6" s="6" t="str">
        <f>'01_KeHoach'!C6</f>
        <v>W1</v>
      </c>
      <c r="C6" s="6" t="str">
        <f>'01_KeHoach'!B6</f>
        <v>Khởi động &amp; As-Is</v>
      </c>
      <c r="D6" s="6" t="str">
        <f>'01_KeHoach'!D6</f>
        <v>Kick-off, chốt phạm vi và mục tiêu</v>
      </c>
      <c r="E6" s="14">
        <f>'01_KeHoach'!G6</f>
        <v>46258</v>
      </c>
      <c r="F6" s="14">
        <f>'01_KeHoach'!H6</f>
        <v>46258</v>
      </c>
      <c r="G6" s="18" t="str">
        <f t="shared" ref="G6:P15" si="0">IF(AND(G$5&gt;=$E6,G$5&lt;=$F6),"■","")</f>
        <v>■</v>
      </c>
      <c r="H6" s="18" t="str">
        <f t="shared" si="0"/>
        <v/>
      </c>
      <c r="I6" s="18" t="str">
        <f t="shared" si="0"/>
        <v/>
      </c>
      <c r="J6" s="18" t="str">
        <f t="shared" si="0"/>
        <v/>
      </c>
      <c r="K6" s="18" t="str">
        <f t="shared" si="0"/>
        <v/>
      </c>
      <c r="L6" s="18" t="str">
        <f t="shared" si="0"/>
        <v/>
      </c>
      <c r="M6" s="18" t="str">
        <f t="shared" si="0"/>
        <v/>
      </c>
      <c r="N6" s="18" t="str">
        <f t="shared" si="0"/>
        <v/>
      </c>
      <c r="O6" s="18" t="str">
        <f t="shared" si="0"/>
        <v/>
      </c>
      <c r="P6" s="18" t="str">
        <f t="shared" si="0"/>
        <v/>
      </c>
      <c r="Q6" s="18" t="str">
        <f t="shared" ref="Q6:Z15" si="1">IF(AND(Q$5&gt;=$E6,Q$5&lt;=$F6),"■","")</f>
        <v/>
      </c>
      <c r="R6" s="18" t="str">
        <f t="shared" si="1"/>
        <v/>
      </c>
      <c r="S6" s="18" t="str">
        <f t="shared" si="1"/>
        <v/>
      </c>
      <c r="T6" s="18" t="str">
        <f t="shared" si="1"/>
        <v/>
      </c>
      <c r="U6" s="18" t="str">
        <f t="shared" si="1"/>
        <v/>
      </c>
      <c r="V6" s="18" t="str">
        <f t="shared" si="1"/>
        <v/>
      </c>
      <c r="W6" s="18" t="str">
        <f t="shared" si="1"/>
        <v/>
      </c>
      <c r="X6" s="18" t="str">
        <f t="shared" si="1"/>
        <v/>
      </c>
      <c r="Y6" s="18" t="str">
        <f t="shared" si="1"/>
        <v/>
      </c>
      <c r="Z6" s="18" t="str">
        <f t="shared" si="1"/>
        <v/>
      </c>
      <c r="AA6" s="18" t="str">
        <f t="shared" ref="AA6:AJ15" si="2">IF(AND(AA$5&gt;=$E6,AA$5&lt;=$F6),"■","")</f>
        <v/>
      </c>
      <c r="AB6" s="18" t="str">
        <f t="shared" si="2"/>
        <v/>
      </c>
      <c r="AC6" s="18" t="str">
        <f t="shared" si="2"/>
        <v/>
      </c>
      <c r="AD6" s="18" t="str">
        <f t="shared" si="2"/>
        <v/>
      </c>
      <c r="AE6" s="18" t="str">
        <f t="shared" si="2"/>
        <v/>
      </c>
      <c r="AF6" s="18" t="str">
        <f t="shared" si="2"/>
        <v/>
      </c>
      <c r="AG6" s="18" t="str">
        <f t="shared" si="2"/>
        <v/>
      </c>
      <c r="AH6" s="18" t="str">
        <f t="shared" si="2"/>
        <v/>
      </c>
      <c r="AI6" s="18" t="str">
        <f t="shared" si="2"/>
        <v/>
      </c>
      <c r="AJ6" s="18" t="str">
        <f t="shared" si="2"/>
        <v/>
      </c>
      <c r="AK6" s="19" t="str">
        <f t="shared" ref="AK6:AT15" si="3">IF(AND(AK$5&gt;=$E6,AK$5&lt;=$F6),"■","")</f>
        <v/>
      </c>
      <c r="AL6" s="19" t="str">
        <f t="shared" si="3"/>
        <v/>
      </c>
      <c r="AM6" s="19" t="str">
        <f t="shared" si="3"/>
        <v/>
      </c>
      <c r="AN6" s="19" t="str">
        <f t="shared" si="3"/>
        <v/>
      </c>
      <c r="AO6" s="19" t="str">
        <f t="shared" si="3"/>
        <v/>
      </c>
      <c r="AP6" s="19" t="str">
        <f t="shared" si="3"/>
        <v/>
      </c>
      <c r="AQ6" s="19" t="str">
        <f t="shared" si="3"/>
        <v/>
      </c>
      <c r="AR6" s="19" t="str">
        <f t="shared" si="3"/>
        <v/>
      </c>
      <c r="AS6" s="19" t="str">
        <f t="shared" si="3"/>
        <v/>
      </c>
      <c r="AT6" s="19" t="str">
        <f t="shared" si="3"/>
        <v/>
      </c>
      <c r="AU6" s="19" t="str">
        <f t="shared" ref="AU6:BD15" si="4">IF(AND(AU$5&gt;=$E6,AU$5&lt;=$F6),"■","")</f>
        <v/>
      </c>
      <c r="AV6" s="19" t="str">
        <f t="shared" si="4"/>
        <v/>
      </c>
      <c r="AW6" s="19" t="str">
        <f t="shared" si="4"/>
        <v/>
      </c>
      <c r="AX6" s="19" t="str">
        <f t="shared" si="4"/>
        <v/>
      </c>
      <c r="AY6" s="19" t="str">
        <f t="shared" si="4"/>
        <v/>
      </c>
      <c r="AZ6" s="19" t="str">
        <f t="shared" si="4"/>
        <v/>
      </c>
      <c r="BA6" s="19" t="str">
        <f t="shared" si="4"/>
        <v/>
      </c>
      <c r="BB6" s="19" t="str">
        <f t="shared" si="4"/>
        <v/>
      </c>
      <c r="BC6" s="19" t="str">
        <f t="shared" si="4"/>
        <v/>
      </c>
      <c r="BD6" s="19" t="str">
        <f t="shared" si="4"/>
        <v/>
      </c>
    </row>
    <row r="7" spans="1:56" ht="24" customHeight="1">
      <c r="A7" s="11" t="str">
        <f>'01_KeHoach'!A7</f>
        <v>WBS-1.2</v>
      </c>
      <c r="B7" s="7" t="str">
        <f>'01_KeHoach'!C7</f>
        <v>W1</v>
      </c>
      <c r="C7" s="7" t="str">
        <f>'01_KeHoach'!B7</f>
        <v>Khởi động &amp; As-Is</v>
      </c>
      <c r="D7" s="7" t="str">
        <f>'01_KeHoach'!D7</f>
        <v>Chốt tiêu chí nghiệm thu và SLA cần đo</v>
      </c>
      <c r="E7" s="15">
        <f>'01_KeHoach'!G7</f>
        <v>46258</v>
      </c>
      <c r="F7" s="15">
        <f>'01_KeHoach'!H7</f>
        <v>46259</v>
      </c>
      <c r="G7" s="18" t="str">
        <f t="shared" si="0"/>
        <v>■</v>
      </c>
      <c r="H7" s="18" t="str">
        <f t="shared" si="0"/>
        <v>■</v>
      </c>
      <c r="I7" s="18" t="str">
        <f t="shared" si="0"/>
        <v/>
      </c>
      <c r="J7" s="18" t="str">
        <f t="shared" si="0"/>
        <v/>
      </c>
      <c r="K7" s="18" t="str">
        <f t="shared" si="0"/>
        <v/>
      </c>
      <c r="L7" s="18" t="str">
        <f t="shared" si="0"/>
        <v/>
      </c>
      <c r="M7" s="18" t="str">
        <f t="shared" si="0"/>
        <v/>
      </c>
      <c r="N7" s="18" t="str">
        <f t="shared" si="0"/>
        <v/>
      </c>
      <c r="O7" s="18" t="str">
        <f t="shared" si="0"/>
        <v/>
      </c>
      <c r="P7" s="18" t="str">
        <f t="shared" si="0"/>
        <v/>
      </c>
      <c r="Q7" s="18" t="str">
        <f t="shared" si="1"/>
        <v/>
      </c>
      <c r="R7" s="18" t="str">
        <f t="shared" si="1"/>
        <v/>
      </c>
      <c r="S7" s="18" t="str">
        <f t="shared" si="1"/>
        <v/>
      </c>
      <c r="T7" s="18" t="str">
        <f t="shared" si="1"/>
        <v/>
      </c>
      <c r="U7" s="18" t="str">
        <f t="shared" si="1"/>
        <v/>
      </c>
      <c r="V7" s="18" t="str">
        <f t="shared" si="1"/>
        <v/>
      </c>
      <c r="W7" s="18" t="str">
        <f t="shared" si="1"/>
        <v/>
      </c>
      <c r="X7" s="18" t="str">
        <f t="shared" si="1"/>
        <v/>
      </c>
      <c r="Y7" s="18" t="str">
        <f t="shared" si="1"/>
        <v/>
      </c>
      <c r="Z7" s="18" t="str">
        <f t="shared" si="1"/>
        <v/>
      </c>
      <c r="AA7" s="18" t="str">
        <f t="shared" si="2"/>
        <v/>
      </c>
      <c r="AB7" s="18" t="str">
        <f t="shared" si="2"/>
        <v/>
      </c>
      <c r="AC7" s="18" t="str">
        <f t="shared" si="2"/>
        <v/>
      </c>
      <c r="AD7" s="18" t="str">
        <f t="shared" si="2"/>
        <v/>
      </c>
      <c r="AE7" s="18" t="str">
        <f t="shared" si="2"/>
        <v/>
      </c>
      <c r="AF7" s="18" t="str">
        <f t="shared" si="2"/>
        <v/>
      </c>
      <c r="AG7" s="18" t="str">
        <f t="shared" si="2"/>
        <v/>
      </c>
      <c r="AH7" s="18" t="str">
        <f t="shared" si="2"/>
        <v/>
      </c>
      <c r="AI7" s="18" t="str">
        <f t="shared" si="2"/>
        <v/>
      </c>
      <c r="AJ7" s="18" t="str">
        <f t="shared" si="2"/>
        <v/>
      </c>
      <c r="AK7" s="19" t="str">
        <f t="shared" si="3"/>
        <v/>
      </c>
      <c r="AL7" s="19" t="str">
        <f t="shared" si="3"/>
        <v/>
      </c>
      <c r="AM7" s="19" t="str">
        <f t="shared" si="3"/>
        <v/>
      </c>
      <c r="AN7" s="19" t="str">
        <f t="shared" si="3"/>
        <v/>
      </c>
      <c r="AO7" s="19" t="str">
        <f t="shared" si="3"/>
        <v/>
      </c>
      <c r="AP7" s="19" t="str">
        <f t="shared" si="3"/>
        <v/>
      </c>
      <c r="AQ7" s="19" t="str">
        <f t="shared" si="3"/>
        <v/>
      </c>
      <c r="AR7" s="19" t="str">
        <f t="shared" si="3"/>
        <v/>
      </c>
      <c r="AS7" s="19" t="str">
        <f t="shared" si="3"/>
        <v/>
      </c>
      <c r="AT7" s="19" t="str">
        <f t="shared" si="3"/>
        <v/>
      </c>
      <c r="AU7" s="19" t="str">
        <f t="shared" si="4"/>
        <v/>
      </c>
      <c r="AV7" s="19" t="str">
        <f t="shared" si="4"/>
        <v/>
      </c>
      <c r="AW7" s="19" t="str">
        <f t="shared" si="4"/>
        <v/>
      </c>
      <c r="AX7" s="19" t="str">
        <f t="shared" si="4"/>
        <v/>
      </c>
      <c r="AY7" s="19" t="str">
        <f t="shared" si="4"/>
        <v/>
      </c>
      <c r="AZ7" s="19" t="str">
        <f t="shared" si="4"/>
        <v/>
      </c>
      <c r="BA7" s="19" t="str">
        <f t="shared" si="4"/>
        <v/>
      </c>
      <c r="BB7" s="19" t="str">
        <f t="shared" si="4"/>
        <v/>
      </c>
      <c r="BC7" s="19" t="str">
        <f t="shared" si="4"/>
        <v/>
      </c>
      <c r="BD7" s="19" t="str">
        <f t="shared" si="4"/>
        <v/>
      </c>
    </row>
    <row r="8" spans="1:56" ht="24" customHeight="1">
      <c r="A8" s="11" t="str">
        <f>'01_KeHoach'!A8</f>
        <v>WBS-1.3</v>
      </c>
      <c r="B8" s="7" t="str">
        <f>'01_KeHoach'!C8</f>
        <v>W1</v>
      </c>
      <c r="C8" s="7" t="str">
        <f>'01_KeHoach'!B8</f>
        <v>Khởi động &amp; As-Is</v>
      </c>
      <c r="D8" s="7" t="str">
        <f>'01_KeHoach'!D8</f>
        <v>Thiết lập evidence repository, index và yêu cầu Evidence Collector</v>
      </c>
      <c r="E8" s="15">
        <f>'01_KeHoach'!G8</f>
        <v>46258</v>
      </c>
      <c r="F8" s="15">
        <f>'01_KeHoach'!H8</f>
        <v>46259</v>
      </c>
      <c r="G8" s="18" t="str">
        <f t="shared" si="0"/>
        <v>■</v>
      </c>
      <c r="H8" s="18" t="str">
        <f t="shared" si="0"/>
        <v>■</v>
      </c>
      <c r="I8" s="18" t="str">
        <f t="shared" si="0"/>
        <v/>
      </c>
      <c r="J8" s="18" t="str">
        <f t="shared" si="0"/>
        <v/>
      </c>
      <c r="K8" s="18" t="str">
        <f t="shared" si="0"/>
        <v/>
      </c>
      <c r="L8" s="18" t="str">
        <f t="shared" si="0"/>
        <v/>
      </c>
      <c r="M8" s="18" t="str">
        <f t="shared" si="0"/>
        <v/>
      </c>
      <c r="N8" s="18" t="str">
        <f t="shared" si="0"/>
        <v/>
      </c>
      <c r="O8" s="18" t="str">
        <f t="shared" si="0"/>
        <v/>
      </c>
      <c r="P8" s="18" t="str">
        <f t="shared" si="0"/>
        <v/>
      </c>
      <c r="Q8" s="18" t="str">
        <f t="shared" si="1"/>
        <v/>
      </c>
      <c r="R8" s="18" t="str">
        <f t="shared" si="1"/>
        <v/>
      </c>
      <c r="S8" s="18" t="str">
        <f t="shared" si="1"/>
        <v/>
      </c>
      <c r="T8" s="18" t="str">
        <f t="shared" si="1"/>
        <v/>
      </c>
      <c r="U8" s="18" t="str">
        <f t="shared" si="1"/>
        <v/>
      </c>
      <c r="V8" s="18" t="str">
        <f t="shared" si="1"/>
        <v/>
      </c>
      <c r="W8" s="18" t="str">
        <f t="shared" si="1"/>
        <v/>
      </c>
      <c r="X8" s="18" t="str">
        <f t="shared" si="1"/>
        <v/>
      </c>
      <c r="Y8" s="18" t="str">
        <f t="shared" si="1"/>
        <v/>
      </c>
      <c r="Z8" s="18" t="str">
        <f t="shared" si="1"/>
        <v/>
      </c>
      <c r="AA8" s="18" t="str">
        <f t="shared" si="2"/>
        <v/>
      </c>
      <c r="AB8" s="18" t="str">
        <f t="shared" si="2"/>
        <v/>
      </c>
      <c r="AC8" s="18" t="str">
        <f t="shared" si="2"/>
        <v/>
      </c>
      <c r="AD8" s="18" t="str">
        <f t="shared" si="2"/>
        <v/>
      </c>
      <c r="AE8" s="18" t="str">
        <f t="shared" si="2"/>
        <v/>
      </c>
      <c r="AF8" s="18" t="str">
        <f t="shared" si="2"/>
        <v/>
      </c>
      <c r="AG8" s="18" t="str">
        <f t="shared" si="2"/>
        <v/>
      </c>
      <c r="AH8" s="18" t="str">
        <f t="shared" si="2"/>
        <v/>
      </c>
      <c r="AI8" s="18" t="str">
        <f t="shared" si="2"/>
        <v/>
      </c>
      <c r="AJ8" s="18" t="str">
        <f t="shared" si="2"/>
        <v/>
      </c>
      <c r="AK8" s="19" t="str">
        <f t="shared" si="3"/>
        <v/>
      </c>
      <c r="AL8" s="19" t="str">
        <f t="shared" si="3"/>
        <v/>
      </c>
      <c r="AM8" s="19" t="str">
        <f t="shared" si="3"/>
        <v/>
      </c>
      <c r="AN8" s="19" t="str">
        <f t="shared" si="3"/>
        <v/>
      </c>
      <c r="AO8" s="19" t="str">
        <f t="shared" si="3"/>
        <v/>
      </c>
      <c r="AP8" s="19" t="str">
        <f t="shared" si="3"/>
        <v/>
      </c>
      <c r="AQ8" s="19" t="str">
        <f t="shared" si="3"/>
        <v/>
      </c>
      <c r="AR8" s="19" t="str">
        <f t="shared" si="3"/>
        <v/>
      </c>
      <c r="AS8" s="19" t="str">
        <f t="shared" si="3"/>
        <v/>
      </c>
      <c r="AT8" s="19" t="str">
        <f t="shared" si="3"/>
        <v/>
      </c>
      <c r="AU8" s="19" t="str">
        <f t="shared" si="4"/>
        <v/>
      </c>
      <c r="AV8" s="19" t="str">
        <f t="shared" si="4"/>
        <v/>
      </c>
      <c r="AW8" s="19" t="str">
        <f t="shared" si="4"/>
        <v/>
      </c>
      <c r="AX8" s="19" t="str">
        <f t="shared" si="4"/>
        <v/>
      </c>
      <c r="AY8" s="19" t="str">
        <f t="shared" si="4"/>
        <v/>
      </c>
      <c r="AZ8" s="19" t="str">
        <f t="shared" si="4"/>
        <v/>
      </c>
      <c r="BA8" s="19" t="str">
        <f t="shared" si="4"/>
        <v/>
      </c>
      <c r="BB8" s="19" t="str">
        <f t="shared" si="4"/>
        <v/>
      </c>
      <c r="BC8" s="19" t="str">
        <f t="shared" si="4"/>
        <v/>
      </c>
      <c r="BD8" s="19" t="str">
        <f t="shared" si="4"/>
        <v/>
      </c>
    </row>
    <row r="9" spans="1:56" ht="24" customHeight="1">
      <c r="A9" s="11" t="str">
        <f>'01_KeHoach'!A9</f>
        <v>WBS-1.4</v>
      </c>
      <c r="B9" s="7" t="str">
        <f>'01_KeHoach'!C9</f>
        <v>W1</v>
      </c>
      <c r="C9" s="7" t="str">
        <f>'01_KeHoach'!B9</f>
        <v>Khởi động &amp; As-Is</v>
      </c>
      <c r="D9" s="7" t="str">
        <f>'01_KeHoach'!D9</f>
        <v>Tạo As-Is Survey Checklist v0.1</v>
      </c>
      <c r="E9" s="15">
        <f>'01_KeHoach'!G9</f>
        <v>46258</v>
      </c>
      <c r="F9" s="15">
        <f>'01_KeHoach'!H9</f>
        <v>46259</v>
      </c>
      <c r="G9" s="18" t="str">
        <f t="shared" si="0"/>
        <v>■</v>
      </c>
      <c r="H9" s="18" t="str">
        <f t="shared" si="0"/>
        <v>■</v>
      </c>
      <c r="I9" s="18" t="str">
        <f t="shared" si="0"/>
        <v/>
      </c>
      <c r="J9" s="18" t="str">
        <f t="shared" si="0"/>
        <v/>
      </c>
      <c r="K9" s="18" t="str">
        <f t="shared" si="0"/>
        <v/>
      </c>
      <c r="L9" s="18" t="str">
        <f t="shared" si="0"/>
        <v/>
      </c>
      <c r="M9" s="18" t="str">
        <f t="shared" si="0"/>
        <v/>
      </c>
      <c r="N9" s="18" t="str">
        <f t="shared" si="0"/>
        <v/>
      </c>
      <c r="O9" s="18" t="str">
        <f t="shared" si="0"/>
        <v/>
      </c>
      <c r="P9" s="18" t="str">
        <f t="shared" si="0"/>
        <v/>
      </c>
      <c r="Q9" s="18" t="str">
        <f t="shared" si="1"/>
        <v/>
      </c>
      <c r="R9" s="18" t="str">
        <f t="shared" si="1"/>
        <v/>
      </c>
      <c r="S9" s="18" t="str">
        <f t="shared" si="1"/>
        <v/>
      </c>
      <c r="T9" s="18" t="str">
        <f t="shared" si="1"/>
        <v/>
      </c>
      <c r="U9" s="18" t="str">
        <f t="shared" si="1"/>
        <v/>
      </c>
      <c r="V9" s="18" t="str">
        <f t="shared" si="1"/>
        <v/>
      </c>
      <c r="W9" s="18" t="str">
        <f t="shared" si="1"/>
        <v/>
      </c>
      <c r="X9" s="18" t="str">
        <f t="shared" si="1"/>
        <v/>
      </c>
      <c r="Y9" s="18" t="str">
        <f t="shared" si="1"/>
        <v/>
      </c>
      <c r="Z9" s="18" t="str">
        <f t="shared" si="1"/>
        <v/>
      </c>
      <c r="AA9" s="18" t="str">
        <f t="shared" si="2"/>
        <v/>
      </c>
      <c r="AB9" s="18" t="str">
        <f t="shared" si="2"/>
        <v/>
      </c>
      <c r="AC9" s="18" t="str">
        <f t="shared" si="2"/>
        <v/>
      </c>
      <c r="AD9" s="18" t="str">
        <f t="shared" si="2"/>
        <v/>
      </c>
      <c r="AE9" s="18" t="str">
        <f t="shared" si="2"/>
        <v/>
      </c>
      <c r="AF9" s="18" t="str">
        <f t="shared" si="2"/>
        <v/>
      </c>
      <c r="AG9" s="18" t="str">
        <f t="shared" si="2"/>
        <v/>
      </c>
      <c r="AH9" s="18" t="str">
        <f t="shared" si="2"/>
        <v/>
      </c>
      <c r="AI9" s="18" t="str">
        <f t="shared" si="2"/>
        <v/>
      </c>
      <c r="AJ9" s="18" t="str">
        <f t="shared" si="2"/>
        <v/>
      </c>
      <c r="AK9" s="19" t="str">
        <f t="shared" si="3"/>
        <v/>
      </c>
      <c r="AL9" s="19" t="str">
        <f t="shared" si="3"/>
        <v/>
      </c>
      <c r="AM9" s="19" t="str">
        <f t="shared" si="3"/>
        <v/>
      </c>
      <c r="AN9" s="19" t="str">
        <f t="shared" si="3"/>
        <v/>
      </c>
      <c r="AO9" s="19" t="str">
        <f t="shared" si="3"/>
        <v/>
      </c>
      <c r="AP9" s="19" t="str">
        <f t="shared" si="3"/>
        <v/>
      </c>
      <c r="AQ9" s="19" t="str">
        <f t="shared" si="3"/>
        <v/>
      </c>
      <c r="AR9" s="19" t="str">
        <f t="shared" si="3"/>
        <v/>
      </c>
      <c r="AS9" s="19" t="str">
        <f t="shared" si="3"/>
        <v/>
      </c>
      <c r="AT9" s="19" t="str">
        <f t="shared" si="3"/>
        <v/>
      </c>
      <c r="AU9" s="19" t="str">
        <f t="shared" si="4"/>
        <v/>
      </c>
      <c r="AV9" s="19" t="str">
        <f t="shared" si="4"/>
        <v/>
      </c>
      <c r="AW9" s="19" t="str">
        <f t="shared" si="4"/>
        <v/>
      </c>
      <c r="AX9" s="19" t="str">
        <f t="shared" si="4"/>
        <v/>
      </c>
      <c r="AY9" s="19" t="str">
        <f t="shared" si="4"/>
        <v/>
      </c>
      <c r="AZ9" s="19" t="str">
        <f t="shared" si="4"/>
        <v/>
      </c>
      <c r="BA9" s="19" t="str">
        <f t="shared" si="4"/>
        <v/>
      </c>
      <c r="BB9" s="19" t="str">
        <f t="shared" si="4"/>
        <v/>
      </c>
      <c r="BC9" s="19" t="str">
        <f t="shared" si="4"/>
        <v/>
      </c>
      <c r="BD9" s="19" t="str">
        <f t="shared" si="4"/>
        <v/>
      </c>
    </row>
    <row r="10" spans="1:56" ht="24" customHeight="1">
      <c r="A10" s="11" t="str">
        <f>'01_KeHoach'!A10</f>
        <v>WBS-1.5</v>
      </c>
      <c r="B10" s="7" t="str">
        <f>'01_KeHoach'!C10</f>
        <v>W1</v>
      </c>
      <c r="C10" s="7" t="str">
        <f>'01_KeHoach'!B10</f>
        <v>Khởi động &amp; As-Is</v>
      </c>
      <c r="D10" s="7" t="str">
        <f>'01_KeHoach'!D10</f>
        <v>Khảo sát deployment và topology</v>
      </c>
      <c r="E10" s="15">
        <f>'01_KeHoach'!G10</f>
        <v>46259</v>
      </c>
      <c r="F10" s="15">
        <f>'01_KeHoach'!H10</f>
        <v>46259</v>
      </c>
      <c r="G10" s="18" t="str">
        <f t="shared" si="0"/>
        <v/>
      </c>
      <c r="H10" s="18" t="str">
        <f t="shared" si="0"/>
        <v>■</v>
      </c>
      <c r="I10" s="18" t="str">
        <f t="shared" si="0"/>
        <v/>
      </c>
      <c r="J10" s="18" t="str">
        <f t="shared" si="0"/>
        <v/>
      </c>
      <c r="K10" s="18" t="str">
        <f t="shared" si="0"/>
        <v/>
      </c>
      <c r="L10" s="18" t="str">
        <f t="shared" si="0"/>
        <v/>
      </c>
      <c r="M10" s="18" t="str">
        <f t="shared" si="0"/>
        <v/>
      </c>
      <c r="N10" s="18" t="str">
        <f t="shared" si="0"/>
        <v/>
      </c>
      <c r="O10" s="18" t="str">
        <f t="shared" si="0"/>
        <v/>
      </c>
      <c r="P10" s="18" t="str">
        <f t="shared" si="0"/>
        <v/>
      </c>
      <c r="Q10" s="18" t="str">
        <f t="shared" si="1"/>
        <v/>
      </c>
      <c r="R10" s="18" t="str">
        <f t="shared" si="1"/>
        <v/>
      </c>
      <c r="S10" s="18" t="str">
        <f t="shared" si="1"/>
        <v/>
      </c>
      <c r="T10" s="18" t="str">
        <f t="shared" si="1"/>
        <v/>
      </c>
      <c r="U10" s="18" t="str">
        <f t="shared" si="1"/>
        <v/>
      </c>
      <c r="V10" s="18" t="str">
        <f t="shared" si="1"/>
        <v/>
      </c>
      <c r="W10" s="18" t="str">
        <f t="shared" si="1"/>
        <v/>
      </c>
      <c r="X10" s="18" t="str">
        <f t="shared" si="1"/>
        <v/>
      </c>
      <c r="Y10" s="18" t="str">
        <f t="shared" si="1"/>
        <v/>
      </c>
      <c r="Z10" s="18" t="str">
        <f t="shared" si="1"/>
        <v/>
      </c>
      <c r="AA10" s="18" t="str">
        <f t="shared" si="2"/>
        <v/>
      </c>
      <c r="AB10" s="18" t="str">
        <f t="shared" si="2"/>
        <v/>
      </c>
      <c r="AC10" s="18" t="str">
        <f t="shared" si="2"/>
        <v/>
      </c>
      <c r="AD10" s="18" t="str">
        <f t="shared" si="2"/>
        <v/>
      </c>
      <c r="AE10" s="18" t="str">
        <f t="shared" si="2"/>
        <v/>
      </c>
      <c r="AF10" s="18" t="str">
        <f t="shared" si="2"/>
        <v/>
      </c>
      <c r="AG10" s="18" t="str">
        <f t="shared" si="2"/>
        <v/>
      </c>
      <c r="AH10" s="18" t="str">
        <f t="shared" si="2"/>
        <v/>
      </c>
      <c r="AI10" s="18" t="str">
        <f t="shared" si="2"/>
        <v/>
      </c>
      <c r="AJ10" s="18" t="str">
        <f t="shared" si="2"/>
        <v/>
      </c>
      <c r="AK10" s="19" t="str">
        <f t="shared" si="3"/>
        <v/>
      </c>
      <c r="AL10" s="19" t="str">
        <f t="shared" si="3"/>
        <v/>
      </c>
      <c r="AM10" s="19" t="str">
        <f t="shared" si="3"/>
        <v/>
      </c>
      <c r="AN10" s="19" t="str">
        <f t="shared" si="3"/>
        <v/>
      </c>
      <c r="AO10" s="19" t="str">
        <f t="shared" si="3"/>
        <v/>
      </c>
      <c r="AP10" s="19" t="str">
        <f t="shared" si="3"/>
        <v/>
      </c>
      <c r="AQ10" s="19" t="str">
        <f t="shared" si="3"/>
        <v/>
      </c>
      <c r="AR10" s="19" t="str">
        <f t="shared" si="3"/>
        <v/>
      </c>
      <c r="AS10" s="19" t="str">
        <f t="shared" si="3"/>
        <v/>
      </c>
      <c r="AT10" s="19" t="str">
        <f t="shared" si="3"/>
        <v/>
      </c>
      <c r="AU10" s="19" t="str">
        <f t="shared" si="4"/>
        <v/>
      </c>
      <c r="AV10" s="19" t="str">
        <f t="shared" si="4"/>
        <v/>
      </c>
      <c r="AW10" s="19" t="str">
        <f t="shared" si="4"/>
        <v/>
      </c>
      <c r="AX10" s="19" t="str">
        <f t="shared" si="4"/>
        <v/>
      </c>
      <c r="AY10" s="19" t="str">
        <f t="shared" si="4"/>
        <v/>
      </c>
      <c r="AZ10" s="19" t="str">
        <f t="shared" si="4"/>
        <v/>
      </c>
      <c r="BA10" s="19" t="str">
        <f t="shared" si="4"/>
        <v/>
      </c>
      <c r="BB10" s="19" t="str">
        <f t="shared" si="4"/>
        <v/>
      </c>
      <c r="BC10" s="19" t="str">
        <f t="shared" si="4"/>
        <v/>
      </c>
      <c r="BD10" s="19" t="str">
        <f t="shared" si="4"/>
        <v/>
      </c>
    </row>
    <row r="11" spans="1:56" ht="24" customHeight="1">
      <c r="A11" s="11" t="str">
        <f>'01_KeHoach'!A11</f>
        <v>WBS-1.6</v>
      </c>
      <c r="B11" s="7" t="str">
        <f>'01_KeHoach'!C11</f>
        <v>W1</v>
      </c>
      <c r="C11" s="7" t="str">
        <f>'01_KeHoach'!B11</f>
        <v>Khởi động &amp; As-Is</v>
      </c>
      <c r="D11" s="7" t="str">
        <f>'01_KeHoach'!D11</f>
        <v>Khảo sát version distribution</v>
      </c>
      <c r="E11" s="15">
        <f>'01_KeHoach'!G11</f>
        <v>46259</v>
      </c>
      <c r="F11" s="15">
        <f>'01_KeHoach'!H11</f>
        <v>46259</v>
      </c>
      <c r="G11" s="18" t="str">
        <f t="shared" si="0"/>
        <v/>
      </c>
      <c r="H11" s="18" t="str">
        <f t="shared" si="0"/>
        <v>■</v>
      </c>
      <c r="I11" s="18" t="str">
        <f t="shared" si="0"/>
        <v/>
      </c>
      <c r="J11" s="18" t="str">
        <f t="shared" si="0"/>
        <v/>
      </c>
      <c r="K11" s="18" t="str">
        <f t="shared" si="0"/>
        <v/>
      </c>
      <c r="L11" s="18" t="str">
        <f t="shared" si="0"/>
        <v/>
      </c>
      <c r="M11" s="18" t="str">
        <f t="shared" si="0"/>
        <v/>
      </c>
      <c r="N11" s="18" t="str">
        <f t="shared" si="0"/>
        <v/>
      </c>
      <c r="O11" s="18" t="str">
        <f t="shared" si="0"/>
        <v/>
      </c>
      <c r="P11" s="18" t="str">
        <f t="shared" si="0"/>
        <v/>
      </c>
      <c r="Q11" s="18" t="str">
        <f t="shared" si="1"/>
        <v/>
      </c>
      <c r="R11" s="18" t="str">
        <f t="shared" si="1"/>
        <v/>
      </c>
      <c r="S11" s="18" t="str">
        <f t="shared" si="1"/>
        <v/>
      </c>
      <c r="T11" s="18" t="str">
        <f t="shared" si="1"/>
        <v/>
      </c>
      <c r="U11" s="18" t="str">
        <f t="shared" si="1"/>
        <v/>
      </c>
      <c r="V11" s="18" t="str">
        <f t="shared" si="1"/>
        <v/>
      </c>
      <c r="W11" s="18" t="str">
        <f t="shared" si="1"/>
        <v/>
      </c>
      <c r="X11" s="18" t="str">
        <f t="shared" si="1"/>
        <v/>
      </c>
      <c r="Y11" s="18" t="str">
        <f t="shared" si="1"/>
        <v/>
      </c>
      <c r="Z11" s="18" t="str">
        <f t="shared" si="1"/>
        <v/>
      </c>
      <c r="AA11" s="18" t="str">
        <f t="shared" si="2"/>
        <v/>
      </c>
      <c r="AB11" s="18" t="str">
        <f t="shared" si="2"/>
        <v/>
      </c>
      <c r="AC11" s="18" t="str">
        <f t="shared" si="2"/>
        <v/>
      </c>
      <c r="AD11" s="18" t="str">
        <f t="shared" si="2"/>
        <v/>
      </c>
      <c r="AE11" s="18" t="str">
        <f t="shared" si="2"/>
        <v/>
      </c>
      <c r="AF11" s="18" t="str">
        <f t="shared" si="2"/>
        <v/>
      </c>
      <c r="AG11" s="18" t="str">
        <f t="shared" si="2"/>
        <v/>
      </c>
      <c r="AH11" s="18" t="str">
        <f t="shared" si="2"/>
        <v/>
      </c>
      <c r="AI11" s="18" t="str">
        <f t="shared" si="2"/>
        <v/>
      </c>
      <c r="AJ11" s="18" t="str">
        <f t="shared" si="2"/>
        <v/>
      </c>
      <c r="AK11" s="19" t="str">
        <f t="shared" si="3"/>
        <v/>
      </c>
      <c r="AL11" s="19" t="str">
        <f t="shared" si="3"/>
        <v/>
      </c>
      <c r="AM11" s="19" t="str">
        <f t="shared" si="3"/>
        <v/>
      </c>
      <c r="AN11" s="19" t="str">
        <f t="shared" si="3"/>
        <v/>
      </c>
      <c r="AO11" s="19" t="str">
        <f t="shared" si="3"/>
        <v/>
      </c>
      <c r="AP11" s="19" t="str">
        <f t="shared" si="3"/>
        <v/>
      </c>
      <c r="AQ11" s="19" t="str">
        <f t="shared" si="3"/>
        <v/>
      </c>
      <c r="AR11" s="19" t="str">
        <f t="shared" si="3"/>
        <v/>
      </c>
      <c r="AS11" s="19" t="str">
        <f t="shared" si="3"/>
        <v/>
      </c>
      <c r="AT11" s="19" t="str">
        <f t="shared" si="3"/>
        <v/>
      </c>
      <c r="AU11" s="19" t="str">
        <f t="shared" si="4"/>
        <v/>
      </c>
      <c r="AV11" s="19" t="str">
        <f t="shared" si="4"/>
        <v/>
      </c>
      <c r="AW11" s="19" t="str">
        <f t="shared" si="4"/>
        <v/>
      </c>
      <c r="AX11" s="19" t="str">
        <f t="shared" si="4"/>
        <v/>
      </c>
      <c r="AY11" s="19" t="str">
        <f t="shared" si="4"/>
        <v/>
      </c>
      <c r="AZ11" s="19" t="str">
        <f t="shared" si="4"/>
        <v/>
      </c>
      <c r="BA11" s="19" t="str">
        <f t="shared" si="4"/>
        <v/>
      </c>
      <c r="BB11" s="19" t="str">
        <f t="shared" si="4"/>
        <v/>
      </c>
      <c r="BC11" s="19" t="str">
        <f t="shared" si="4"/>
        <v/>
      </c>
      <c r="BD11" s="19" t="str">
        <f t="shared" si="4"/>
        <v/>
      </c>
    </row>
    <row r="12" spans="1:56" ht="24" customHeight="1">
      <c r="A12" s="11" t="str">
        <f>'01_KeHoach'!A12</f>
        <v>WBS-1.7</v>
      </c>
      <c r="B12" s="7" t="str">
        <f>'01_KeHoach'!C12</f>
        <v>W1</v>
      </c>
      <c r="C12" s="7" t="str">
        <f>'01_KeHoach'!B12</f>
        <v>Khởi động &amp; As-Is</v>
      </c>
      <c r="D12" s="7" t="str">
        <f>'01_KeHoach'!D12</f>
        <v>Khảo sát BlueStore/RocksDB và DB/WAL</v>
      </c>
      <c r="E12" s="15">
        <f>'01_KeHoach'!G12</f>
        <v>46259</v>
      </c>
      <c r="F12" s="15">
        <f>'01_KeHoach'!H12</f>
        <v>46260</v>
      </c>
      <c r="G12" s="18" t="str">
        <f t="shared" si="0"/>
        <v/>
      </c>
      <c r="H12" s="18" t="str">
        <f t="shared" si="0"/>
        <v>■</v>
      </c>
      <c r="I12" s="18" t="str">
        <f t="shared" si="0"/>
        <v>■</v>
      </c>
      <c r="J12" s="18" t="str">
        <f t="shared" si="0"/>
        <v/>
      </c>
      <c r="K12" s="18" t="str">
        <f t="shared" si="0"/>
        <v/>
      </c>
      <c r="L12" s="18" t="str">
        <f t="shared" si="0"/>
        <v/>
      </c>
      <c r="M12" s="18" t="str">
        <f t="shared" si="0"/>
        <v/>
      </c>
      <c r="N12" s="18" t="str">
        <f t="shared" si="0"/>
        <v/>
      </c>
      <c r="O12" s="18" t="str">
        <f t="shared" si="0"/>
        <v/>
      </c>
      <c r="P12" s="18" t="str">
        <f t="shared" si="0"/>
        <v/>
      </c>
      <c r="Q12" s="18" t="str">
        <f t="shared" si="1"/>
        <v/>
      </c>
      <c r="R12" s="18" t="str">
        <f t="shared" si="1"/>
        <v/>
      </c>
      <c r="S12" s="18" t="str">
        <f t="shared" si="1"/>
        <v/>
      </c>
      <c r="T12" s="18" t="str">
        <f t="shared" si="1"/>
        <v/>
      </c>
      <c r="U12" s="18" t="str">
        <f t="shared" si="1"/>
        <v/>
      </c>
      <c r="V12" s="18" t="str">
        <f t="shared" si="1"/>
        <v/>
      </c>
      <c r="W12" s="18" t="str">
        <f t="shared" si="1"/>
        <v/>
      </c>
      <c r="X12" s="18" t="str">
        <f t="shared" si="1"/>
        <v/>
      </c>
      <c r="Y12" s="18" t="str">
        <f t="shared" si="1"/>
        <v/>
      </c>
      <c r="Z12" s="18" t="str">
        <f t="shared" si="1"/>
        <v/>
      </c>
      <c r="AA12" s="18" t="str">
        <f t="shared" si="2"/>
        <v/>
      </c>
      <c r="AB12" s="18" t="str">
        <f t="shared" si="2"/>
        <v/>
      </c>
      <c r="AC12" s="18" t="str">
        <f t="shared" si="2"/>
        <v/>
      </c>
      <c r="AD12" s="18" t="str">
        <f t="shared" si="2"/>
        <v/>
      </c>
      <c r="AE12" s="18" t="str">
        <f t="shared" si="2"/>
        <v/>
      </c>
      <c r="AF12" s="18" t="str">
        <f t="shared" si="2"/>
        <v/>
      </c>
      <c r="AG12" s="18" t="str">
        <f t="shared" si="2"/>
        <v/>
      </c>
      <c r="AH12" s="18" t="str">
        <f t="shared" si="2"/>
        <v/>
      </c>
      <c r="AI12" s="18" t="str">
        <f t="shared" si="2"/>
        <v/>
      </c>
      <c r="AJ12" s="18" t="str">
        <f t="shared" si="2"/>
        <v/>
      </c>
      <c r="AK12" s="19" t="str">
        <f t="shared" si="3"/>
        <v/>
      </c>
      <c r="AL12" s="19" t="str">
        <f t="shared" si="3"/>
        <v/>
      </c>
      <c r="AM12" s="19" t="str">
        <f t="shared" si="3"/>
        <v/>
      </c>
      <c r="AN12" s="19" t="str">
        <f t="shared" si="3"/>
        <v/>
      </c>
      <c r="AO12" s="19" t="str">
        <f t="shared" si="3"/>
        <v/>
      </c>
      <c r="AP12" s="19" t="str">
        <f t="shared" si="3"/>
        <v/>
      </c>
      <c r="AQ12" s="19" t="str">
        <f t="shared" si="3"/>
        <v/>
      </c>
      <c r="AR12" s="19" t="str">
        <f t="shared" si="3"/>
        <v/>
      </c>
      <c r="AS12" s="19" t="str">
        <f t="shared" si="3"/>
        <v/>
      </c>
      <c r="AT12" s="19" t="str">
        <f t="shared" si="3"/>
        <v/>
      </c>
      <c r="AU12" s="19" t="str">
        <f t="shared" si="4"/>
        <v/>
      </c>
      <c r="AV12" s="19" t="str">
        <f t="shared" si="4"/>
        <v/>
      </c>
      <c r="AW12" s="19" t="str">
        <f t="shared" si="4"/>
        <v/>
      </c>
      <c r="AX12" s="19" t="str">
        <f t="shared" si="4"/>
        <v/>
      </c>
      <c r="AY12" s="19" t="str">
        <f t="shared" si="4"/>
        <v/>
      </c>
      <c r="AZ12" s="19" t="str">
        <f t="shared" si="4"/>
        <v/>
      </c>
      <c r="BA12" s="19" t="str">
        <f t="shared" si="4"/>
        <v/>
      </c>
      <c r="BB12" s="19" t="str">
        <f t="shared" si="4"/>
        <v/>
      </c>
      <c r="BC12" s="19" t="str">
        <f t="shared" si="4"/>
        <v/>
      </c>
      <c r="BD12" s="19" t="str">
        <f t="shared" si="4"/>
        <v/>
      </c>
    </row>
    <row r="13" spans="1:56" ht="24" customHeight="1">
      <c r="A13" s="11" t="str">
        <f>'01_KeHoach'!A13</f>
        <v>WBS-1.8</v>
      </c>
      <c r="B13" s="7" t="str">
        <f>'01_KeHoach'!C13</f>
        <v>W1</v>
      </c>
      <c r="C13" s="7" t="str">
        <f>'01_KeHoach'!B13</f>
        <v>Khởi động &amp; As-Is</v>
      </c>
      <c r="D13" s="7" t="str">
        <f>'01_KeHoach'!D13</f>
        <v>Khảo sát pool, PG, CRUSH, capacity và health history</v>
      </c>
      <c r="E13" s="15">
        <f>'01_KeHoach'!G13</f>
        <v>46260</v>
      </c>
      <c r="F13" s="15">
        <f>'01_KeHoach'!H13</f>
        <v>46260</v>
      </c>
      <c r="G13" s="18" t="str">
        <f t="shared" si="0"/>
        <v/>
      </c>
      <c r="H13" s="18" t="str">
        <f t="shared" si="0"/>
        <v/>
      </c>
      <c r="I13" s="18" t="str">
        <f t="shared" si="0"/>
        <v>■</v>
      </c>
      <c r="J13" s="18" t="str">
        <f t="shared" si="0"/>
        <v/>
      </c>
      <c r="K13" s="18" t="str">
        <f t="shared" si="0"/>
        <v/>
      </c>
      <c r="L13" s="18" t="str">
        <f t="shared" si="0"/>
        <v/>
      </c>
      <c r="M13" s="18" t="str">
        <f t="shared" si="0"/>
        <v/>
      </c>
      <c r="N13" s="18" t="str">
        <f t="shared" si="0"/>
        <v/>
      </c>
      <c r="O13" s="18" t="str">
        <f t="shared" si="0"/>
        <v/>
      </c>
      <c r="P13" s="18" t="str">
        <f t="shared" si="0"/>
        <v/>
      </c>
      <c r="Q13" s="18" t="str">
        <f t="shared" si="1"/>
        <v/>
      </c>
      <c r="R13" s="18" t="str">
        <f t="shared" si="1"/>
        <v/>
      </c>
      <c r="S13" s="18" t="str">
        <f t="shared" si="1"/>
        <v/>
      </c>
      <c r="T13" s="18" t="str">
        <f t="shared" si="1"/>
        <v/>
      </c>
      <c r="U13" s="18" t="str">
        <f t="shared" si="1"/>
        <v/>
      </c>
      <c r="V13" s="18" t="str">
        <f t="shared" si="1"/>
        <v/>
      </c>
      <c r="W13" s="18" t="str">
        <f t="shared" si="1"/>
        <v/>
      </c>
      <c r="X13" s="18" t="str">
        <f t="shared" si="1"/>
        <v/>
      </c>
      <c r="Y13" s="18" t="str">
        <f t="shared" si="1"/>
        <v/>
      </c>
      <c r="Z13" s="18" t="str">
        <f t="shared" si="1"/>
        <v/>
      </c>
      <c r="AA13" s="18" t="str">
        <f t="shared" si="2"/>
        <v/>
      </c>
      <c r="AB13" s="18" t="str">
        <f t="shared" si="2"/>
        <v/>
      </c>
      <c r="AC13" s="18" t="str">
        <f t="shared" si="2"/>
        <v/>
      </c>
      <c r="AD13" s="18" t="str">
        <f t="shared" si="2"/>
        <v/>
      </c>
      <c r="AE13" s="18" t="str">
        <f t="shared" si="2"/>
        <v/>
      </c>
      <c r="AF13" s="18" t="str">
        <f t="shared" si="2"/>
        <v/>
      </c>
      <c r="AG13" s="18" t="str">
        <f t="shared" si="2"/>
        <v/>
      </c>
      <c r="AH13" s="18" t="str">
        <f t="shared" si="2"/>
        <v/>
      </c>
      <c r="AI13" s="18" t="str">
        <f t="shared" si="2"/>
        <v/>
      </c>
      <c r="AJ13" s="18" t="str">
        <f t="shared" si="2"/>
        <v/>
      </c>
      <c r="AK13" s="19" t="str">
        <f t="shared" si="3"/>
        <v/>
      </c>
      <c r="AL13" s="19" t="str">
        <f t="shared" si="3"/>
        <v/>
      </c>
      <c r="AM13" s="19" t="str">
        <f t="shared" si="3"/>
        <v/>
      </c>
      <c r="AN13" s="19" t="str">
        <f t="shared" si="3"/>
        <v/>
      </c>
      <c r="AO13" s="19" t="str">
        <f t="shared" si="3"/>
        <v/>
      </c>
      <c r="AP13" s="19" t="str">
        <f t="shared" si="3"/>
        <v/>
      </c>
      <c r="AQ13" s="19" t="str">
        <f t="shared" si="3"/>
        <v/>
      </c>
      <c r="AR13" s="19" t="str">
        <f t="shared" si="3"/>
        <v/>
      </c>
      <c r="AS13" s="19" t="str">
        <f t="shared" si="3"/>
        <v/>
      </c>
      <c r="AT13" s="19" t="str">
        <f t="shared" si="3"/>
        <v/>
      </c>
      <c r="AU13" s="19" t="str">
        <f t="shared" si="4"/>
        <v/>
      </c>
      <c r="AV13" s="19" t="str">
        <f t="shared" si="4"/>
        <v/>
      </c>
      <c r="AW13" s="19" t="str">
        <f t="shared" si="4"/>
        <v/>
      </c>
      <c r="AX13" s="19" t="str">
        <f t="shared" si="4"/>
        <v/>
      </c>
      <c r="AY13" s="19" t="str">
        <f t="shared" si="4"/>
        <v/>
      </c>
      <c r="AZ13" s="19" t="str">
        <f t="shared" si="4"/>
        <v/>
      </c>
      <c r="BA13" s="19" t="str">
        <f t="shared" si="4"/>
        <v/>
      </c>
      <c r="BB13" s="19" t="str">
        <f t="shared" si="4"/>
        <v/>
      </c>
      <c r="BC13" s="19" t="str">
        <f t="shared" si="4"/>
        <v/>
      </c>
      <c r="BD13" s="19" t="str">
        <f t="shared" si="4"/>
        <v/>
      </c>
    </row>
    <row r="14" spans="1:56" ht="24" customHeight="1">
      <c r="A14" s="11" t="str">
        <f>'01_KeHoach'!A14</f>
        <v>WBS-1.9</v>
      </c>
      <c r="B14" s="7" t="str">
        <f>'01_KeHoach'!C14</f>
        <v>W1</v>
      </c>
      <c r="C14" s="7" t="str">
        <f>'01_KeHoach'!B14</f>
        <v>Khởi động &amp; As-Is</v>
      </c>
      <c r="D14" s="7" t="str">
        <f>'01_KeHoach'!D14</f>
        <v>Khảo sát dịch vụ và client</v>
      </c>
      <c r="E14" s="15">
        <f>'01_KeHoach'!G14</f>
        <v>46260</v>
      </c>
      <c r="F14" s="15">
        <f>'01_KeHoach'!H14</f>
        <v>46261</v>
      </c>
      <c r="G14" s="18" t="str">
        <f t="shared" si="0"/>
        <v/>
      </c>
      <c r="H14" s="18" t="str">
        <f t="shared" si="0"/>
        <v/>
      </c>
      <c r="I14" s="18" t="str">
        <f t="shared" si="0"/>
        <v>■</v>
      </c>
      <c r="J14" s="18" t="str">
        <f t="shared" si="0"/>
        <v>■</v>
      </c>
      <c r="K14" s="18" t="str">
        <f t="shared" si="0"/>
        <v/>
      </c>
      <c r="L14" s="18" t="str">
        <f t="shared" si="0"/>
        <v/>
      </c>
      <c r="M14" s="18" t="str">
        <f t="shared" si="0"/>
        <v/>
      </c>
      <c r="N14" s="18" t="str">
        <f t="shared" si="0"/>
        <v/>
      </c>
      <c r="O14" s="18" t="str">
        <f t="shared" si="0"/>
        <v/>
      </c>
      <c r="P14" s="18" t="str">
        <f t="shared" si="0"/>
        <v/>
      </c>
      <c r="Q14" s="18" t="str">
        <f t="shared" si="1"/>
        <v/>
      </c>
      <c r="R14" s="18" t="str">
        <f t="shared" si="1"/>
        <v/>
      </c>
      <c r="S14" s="18" t="str">
        <f t="shared" si="1"/>
        <v/>
      </c>
      <c r="T14" s="18" t="str">
        <f t="shared" si="1"/>
        <v/>
      </c>
      <c r="U14" s="18" t="str">
        <f t="shared" si="1"/>
        <v/>
      </c>
      <c r="V14" s="18" t="str">
        <f t="shared" si="1"/>
        <v/>
      </c>
      <c r="W14" s="18" t="str">
        <f t="shared" si="1"/>
        <v/>
      </c>
      <c r="X14" s="18" t="str">
        <f t="shared" si="1"/>
        <v/>
      </c>
      <c r="Y14" s="18" t="str">
        <f t="shared" si="1"/>
        <v/>
      </c>
      <c r="Z14" s="18" t="str">
        <f t="shared" si="1"/>
        <v/>
      </c>
      <c r="AA14" s="18" t="str">
        <f t="shared" si="2"/>
        <v/>
      </c>
      <c r="AB14" s="18" t="str">
        <f t="shared" si="2"/>
        <v/>
      </c>
      <c r="AC14" s="18" t="str">
        <f t="shared" si="2"/>
        <v/>
      </c>
      <c r="AD14" s="18" t="str">
        <f t="shared" si="2"/>
        <v/>
      </c>
      <c r="AE14" s="18" t="str">
        <f t="shared" si="2"/>
        <v/>
      </c>
      <c r="AF14" s="18" t="str">
        <f t="shared" si="2"/>
        <v/>
      </c>
      <c r="AG14" s="18" t="str">
        <f t="shared" si="2"/>
        <v/>
      </c>
      <c r="AH14" s="18" t="str">
        <f t="shared" si="2"/>
        <v/>
      </c>
      <c r="AI14" s="18" t="str">
        <f t="shared" si="2"/>
        <v/>
      </c>
      <c r="AJ14" s="18" t="str">
        <f t="shared" si="2"/>
        <v/>
      </c>
      <c r="AK14" s="19" t="str">
        <f t="shared" si="3"/>
        <v/>
      </c>
      <c r="AL14" s="19" t="str">
        <f t="shared" si="3"/>
        <v/>
      </c>
      <c r="AM14" s="19" t="str">
        <f t="shared" si="3"/>
        <v/>
      </c>
      <c r="AN14" s="19" t="str">
        <f t="shared" si="3"/>
        <v/>
      </c>
      <c r="AO14" s="19" t="str">
        <f t="shared" si="3"/>
        <v/>
      </c>
      <c r="AP14" s="19" t="str">
        <f t="shared" si="3"/>
        <v/>
      </c>
      <c r="AQ14" s="19" t="str">
        <f t="shared" si="3"/>
        <v/>
      </c>
      <c r="AR14" s="19" t="str">
        <f t="shared" si="3"/>
        <v/>
      </c>
      <c r="AS14" s="19" t="str">
        <f t="shared" si="3"/>
        <v/>
      </c>
      <c r="AT14" s="19" t="str">
        <f t="shared" si="3"/>
        <v/>
      </c>
      <c r="AU14" s="19" t="str">
        <f t="shared" si="4"/>
        <v/>
      </c>
      <c r="AV14" s="19" t="str">
        <f t="shared" si="4"/>
        <v/>
      </c>
      <c r="AW14" s="19" t="str">
        <f t="shared" si="4"/>
        <v/>
      </c>
      <c r="AX14" s="19" t="str">
        <f t="shared" si="4"/>
        <v/>
      </c>
      <c r="AY14" s="19" t="str">
        <f t="shared" si="4"/>
        <v/>
      </c>
      <c r="AZ14" s="19" t="str">
        <f t="shared" si="4"/>
        <v/>
      </c>
      <c r="BA14" s="19" t="str">
        <f t="shared" si="4"/>
        <v/>
      </c>
      <c r="BB14" s="19" t="str">
        <f t="shared" si="4"/>
        <v/>
      </c>
      <c r="BC14" s="19" t="str">
        <f t="shared" si="4"/>
        <v/>
      </c>
      <c r="BD14" s="19" t="str">
        <f t="shared" si="4"/>
        <v/>
      </c>
    </row>
    <row r="15" spans="1:56" ht="24" customHeight="1">
      <c r="A15" s="11" t="str">
        <f>'01_KeHoach'!A15</f>
        <v>WBS-1.10</v>
      </c>
      <c r="B15" s="7" t="str">
        <f>'01_KeHoach'!C15</f>
        <v>W1</v>
      </c>
      <c r="C15" s="7" t="str">
        <f>'01_KeHoach'!B15</f>
        <v>Khởi động &amp; As-Is</v>
      </c>
      <c r="D15" s="7" t="str">
        <f>'01_KeHoach'!D15</f>
        <v>Khảo sát host platform và delivery artifact</v>
      </c>
      <c r="E15" s="15">
        <f>'01_KeHoach'!G15</f>
        <v>46261</v>
      </c>
      <c r="F15" s="15">
        <f>'01_KeHoach'!H15</f>
        <v>46261</v>
      </c>
      <c r="G15" s="18" t="str">
        <f t="shared" si="0"/>
        <v/>
      </c>
      <c r="H15" s="18" t="str">
        <f t="shared" si="0"/>
        <v/>
      </c>
      <c r="I15" s="18" t="str">
        <f t="shared" si="0"/>
        <v/>
      </c>
      <c r="J15" s="18" t="str">
        <f t="shared" si="0"/>
        <v>■</v>
      </c>
      <c r="K15" s="18" t="str">
        <f t="shared" si="0"/>
        <v/>
      </c>
      <c r="L15" s="18" t="str">
        <f t="shared" si="0"/>
        <v/>
      </c>
      <c r="M15" s="18" t="str">
        <f t="shared" si="0"/>
        <v/>
      </c>
      <c r="N15" s="18" t="str">
        <f t="shared" si="0"/>
        <v/>
      </c>
      <c r="O15" s="18" t="str">
        <f t="shared" si="0"/>
        <v/>
      </c>
      <c r="P15" s="18" t="str">
        <f t="shared" si="0"/>
        <v/>
      </c>
      <c r="Q15" s="18" t="str">
        <f t="shared" si="1"/>
        <v/>
      </c>
      <c r="R15" s="18" t="str">
        <f t="shared" si="1"/>
        <v/>
      </c>
      <c r="S15" s="18" t="str">
        <f t="shared" si="1"/>
        <v/>
      </c>
      <c r="T15" s="18" t="str">
        <f t="shared" si="1"/>
        <v/>
      </c>
      <c r="U15" s="18" t="str">
        <f t="shared" si="1"/>
        <v/>
      </c>
      <c r="V15" s="18" t="str">
        <f t="shared" si="1"/>
        <v/>
      </c>
      <c r="W15" s="18" t="str">
        <f t="shared" si="1"/>
        <v/>
      </c>
      <c r="X15" s="18" t="str">
        <f t="shared" si="1"/>
        <v/>
      </c>
      <c r="Y15" s="18" t="str">
        <f t="shared" si="1"/>
        <v/>
      </c>
      <c r="Z15" s="18" t="str">
        <f t="shared" si="1"/>
        <v/>
      </c>
      <c r="AA15" s="18" t="str">
        <f t="shared" si="2"/>
        <v/>
      </c>
      <c r="AB15" s="18" t="str">
        <f t="shared" si="2"/>
        <v/>
      </c>
      <c r="AC15" s="18" t="str">
        <f t="shared" si="2"/>
        <v/>
      </c>
      <c r="AD15" s="18" t="str">
        <f t="shared" si="2"/>
        <v/>
      </c>
      <c r="AE15" s="18" t="str">
        <f t="shared" si="2"/>
        <v/>
      </c>
      <c r="AF15" s="18" t="str">
        <f t="shared" si="2"/>
        <v/>
      </c>
      <c r="AG15" s="18" t="str">
        <f t="shared" si="2"/>
        <v/>
      </c>
      <c r="AH15" s="18" t="str">
        <f t="shared" si="2"/>
        <v/>
      </c>
      <c r="AI15" s="18" t="str">
        <f t="shared" si="2"/>
        <v/>
      </c>
      <c r="AJ15" s="18" t="str">
        <f t="shared" si="2"/>
        <v/>
      </c>
      <c r="AK15" s="19" t="str">
        <f t="shared" si="3"/>
        <v/>
      </c>
      <c r="AL15" s="19" t="str">
        <f t="shared" si="3"/>
        <v/>
      </c>
      <c r="AM15" s="19" t="str">
        <f t="shared" si="3"/>
        <v/>
      </c>
      <c r="AN15" s="19" t="str">
        <f t="shared" si="3"/>
        <v/>
      </c>
      <c r="AO15" s="19" t="str">
        <f t="shared" si="3"/>
        <v/>
      </c>
      <c r="AP15" s="19" t="str">
        <f t="shared" si="3"/>
        <v/>
      </c>
      <c r="AQ15" s="19" t="str">
        <f t="shared" si="3"/>
        <v/>
      </c>
      <c r="AR15" s="19" t="str">
        <f t="shared" si="3"/>
        <v/>
      </c>
      <c r="AS15" s="19" t="str">
        <f t="shared" si="3"/>
        <v/>
      </c>
      <c r="AT15" s="19" t="str">
        <f t="shared" si="3"/>
        <v/>
      </c>
      <c r="AU15" s="19" t="str">
        <f t="shared" si="4"/>
        <v/>
      </c>
      <c r="AV15" s="19" t="str">
        <f t="shared" si="4"/>
        <v/>
      </c>
      <c r="AW15" s="19" t="str">
        <f t="shared" si="4"/>
        <v/>
      </c>
      <c r="AX15" s="19" t="str">
        <f t="shared" si="4"/>
        <v/>
      </c>
      <c r="AY15" s="19" t="str">
        <f t="shared" si="4"/>
        <v/>
      </c>
      <c r="AZ15" s="19" t="str">
        <f t="shared" si="4"/>
        <v/>
      </c>
      <c r="BA15" s="19" t="str">
        <f t="shared" si="4"/>
        <v/>
      </c>
      <c r="BB15" s="19" t="str">
        <f t="shared" si="4"/>
        <v/>
      </c>
      <c r="BC15" s="19" t="str">
        <f t="shared" si="4"/>
        <v/>
      </c>
      <c r="BD15" s="19" t="str">
        <f t="shared" si="4"/>
        <v/>
      </c>
    </row>
    <row r="16" spans="1:56" ht="24" customHeight="1">
      <c r="A16" s="11" t="str">
        <f>'01_KeHoach'!A16</f>
        <v>WBS-1.11</v>
      </c>
      <c r="B16" s="7" t="str">
        <f>'01_KeHoach'!C16</f>
        <v>W1</v>
      </c>
      <c r="C16" s="7" t="str">
        <f>'01_KeHoach'!B16</f>
        <v>Khởi động &amp; As-Is</v>
      </c>
      <c r="D16" s="7" t="str">
        <f>'01_KeHoach'!D16</f>
        <v>Khảo sát workload Production</v>
      </c>
      <c r="E16" s="15">
        <f>'01_KeHoach'!G16</f>
        <v>46261</v>
      </c>
      <c r="F16" s="15">
        <f>'01_KeHoach'!H16</f>
        <v>46261</v>
      </c>
      <c r="G16" s="18" t="str">
        <f t="shared" ref="G16:P25" si="5">IF(AND(G$5&gt;=$E16,G$5&lt;=$F16),"■","")</f>
        <v/>
      </c>
      <c r="H16" s="18" t="str">
        <f t="shared" si="5"/>
        <v/>
      </c>
      <c r="I16" s="18" t="str">
        <f t="shared" si="5"/>
        <v/>
      </c>
      <c r="J16" s="18" t="str">
        <f t="shared" si="5"/>
        <v>■</v>
      </c>
      <c r="K16" s="18" t="str">
        <f t="shared" si="5"/>
        <v/>
      </c>
      <c r="L16" s="18" t="str">
        <f t="shared" si="5"/>
        <v/>
      </c>
      <c r="M16" s="18" t="str">
        <f t="shared" si="5"/>
        <v/>
      </c>
      <c r="N16" s="18" t="str">
        <f t="shared" si="5"/>
        <v/>
      </c>
      <c r="O16" s="18" t="str">
        <f t="shared" si="5"/>
        <v/>
      </c>
      <c r="P16" s="18" t="str">
        <f t="shared" si="5"/>
        <v/>
      </c>
      <c r="Q16" s="18" t="str">
        <f t="shared" ref="Q16:Z25" si="6">IF(AND(Q$5&gt;=$E16,Q$5&lt;=$F16),"■","")</f>
        <v/>
      </c>
      <c r="R16" s="18" t="str">
        <f t="shared" si="6"/>
        <v/>
      </c>
      <c r="S16" s="18" t="str">
        <f t="shared" si="6"/>
        <v/>
      </c>
      <c r="T16" s="18" t="str">
        <f t="shared" si="6"/>
        <v/>
      </c>
      <c r="U16" s="18" t="str">
        <f t="shared" si="6"/>
        <v/>
      </c>
      <c r="V16" s="18" t="str">
        <f t="shared" si="6"/>
        <v/>
      </c>
      <c r="W16" s="18" t="str">
        <f t="shared" si="6"/>
        <v/>
      </c>
      <c r="X16" s="18" t="str">
        <f t="shared" si="6"/>
        <v/>
      </c>
      <c r="Y16" s="18" t="str">
        <f t="shared" si="6"/>
        <v/>
      </c>
      <c r="Z16" s="18" t="str">
        <f t="shared" si="6"/>
        <v/>
      </c>
      <c r="AA16" s="18" t="str">
        <f t="shared" ref="AA16:AJ25" si="7">IF(AND(AA$5&gt;=$E16,AA$5&lt;=$F16),"■","")</f>
        <v/>
      </c>
      <c r="AB16" s="18" t="str">
        <f t="shared" si="7"/>
        <v/>
      </c>
      <c r="AC16" s="18" t="str">
        <f t="shared" si="7"/>
        <v/>
      </c>
      <c r="AD16" s="18" t="str">
        <f t="shared" si="7"/>
        <v/>
      </c>
      <c r="AE16" s="18" t="str">
        <f t="shared" si="7"/>
        <v/>
      </c>
      <c r="AF16" s="18" t="str">
        <f t="shared" si="7"/>
        <v/>
      </c>
      <c r="AG16" s="18" t="str">
        <f t="shared" si="7"/>
        <v/>
      </c>
      <c r="AH16" s="18" t="str">
        <f t="shared" si="7"/>
        <v/>
      </c>
      <c r="AI16" s="18" t="str">
        <f t="shared" si="7"/>
        <v/>
      </c>
      <c r="AJ16" s="18" t="str">
        <f t="shared" si="7"/>
        <v/>
      </c>
      <c r="AK16" s="19" t="str">
        <f t="shared" ref="AK16:AT25" si="8">IF(AND(AK$5&gt;=$E16,AK$5&lt;=$F16),"■","")</f>
        <v/>
      </c>
      <c r="AL16" s="19" t="str">
        <f t="shared" si="8"/>
        <v/>
      </c>
      <c r="AM16" s="19" t="str">
        <f t="shared" si="8"/>
        <v/>
      </c>
      <c r="AN16" s="19" t="str">
        <f t="shared" si="8"/>
        <v/>
      </c>
      <c r="AO16" s="19" t="str">
        <f t="shared" si="8"/>
        <v/>
      </c>
      <c r="AP16" s="19" t="str">
        <f t="shared" si="8"/>
        <v/>
      </c>
      <c r="AQ16" s="19" t="str">
        <f t="shared" si="8"/>
        <v/>
      </c>
      <c r="AR16" s="19" t="str">
        <f t="shared" si="8"/>
        <v/>
      </c>
      <c r="AS16" s="19" t="str">
        <f t="shared" si="8"/>
        <v/>
      </c>
      <c r="AT16" s="19" t="str">
        <f t="shared" si="8"/>
        <v/>
      </c>
      <c r="AU16" s="19" t="str">
        <f t="shared" ref="AU16:BD25" si="9">IF(AND(AU$5&gt;=$E16,AU$5&lt;=$F16),"■","")</f>
        <v/>
      </c>
      <c r="AV16" s="19" t="str">
        <f t="shared" si="9"/>
        <v/>
      </c>
      <c r="AW16" s="19" t="str">
        <f t="shared" si="9"/>
        <v/>
      </c>
      <c r="AX16" s="19" t="str">
        <f t="shared" si="9"/>
        <v/>
      </c>
      <c r="AY16" s="19" t="str">
        <f t="shared" si="9"/>
        <v/>
      </c>
      <c r="AZ16" s="19" t="str">
        <f t="shared" si="9"/>
        <v/>
      </c>
      <c r="BA16" s="19" t="str">
        <f t="shared" si="9"/>
        <v/>
      </c>
      <c r="BB16" s="19" t="str">
        <f t="shared" si="9"/>
        <v/>
      </c>
      <c r="BC16" s="19" t="str">
        <f t="shared" si="9"/>
        <v/>
      </c>
      <c r="BD16" s="19" t="str">
        <f t="shared" si="9"/>
        <v/>
      </c>
    </row>
    <row r="17" spans="1:56" ht="24" customHeight="1">
      <c r="A17" s="11" t="str">
        <f>'01_KeHoach'!A17</f>
        <v>WBS-1.12</v>
      </c>
      <c r="B17" s="7" t="str">
        <f>'01_KeHoach'!C17</f>
        <v>W1</v>
      </c>
      <c r="C17" s="7" t="str">
        <f>'01_KeHoach'!B17</f>
        <v>Khởi động &amp; As-Is</v>
      </c>
      <c r="D17" s="7" t="str">
        <f>'01_KeHoach'!D17</f>
        <v>Phát hành As-Is Report và Blocker Register</v>
      </c>
      <c r="E17" s="15">
        <f>'01_KeHoach'!G17</f>
        <v>46262</v>
      </c>
      <c r="F17" s="15">
        <f>'01_KeHoach'!H17</f>
        <v>46262</v>
      </c>
      <c r="G17" s="18" t="str">
        <f t="shared" si="5"/>
        <v/>
      </c>
      <c r="H17" s="18" t="str">
        <f t="shared" si="5"/>
        <v/>
      </c>
      <c r="I17" s="18" t="str">
        <f t="shared" si="5"/>
        <v/>
      </c>
      <c r="J17" s="18" t="str">
        <f t="shared" si="5"/>
        <v/>
      </c>
      <c r="K17" s="18" t="str">
        <f t="shared" si="5"/>
        <v>■</v>
      </c>
      <c r="L17" s="18" t="str">
        <f t="shared" si="5"/>
        <v/>
      </c>
      <c r="M17" s="18" t="str">
        <f t="shared" si="5"/>
        <v/>
      </c>
      <c r="N17" s="18" t="str">
        <f t="shared" si="5"/>
        <v/>
      </c>
      <c r="O17" s="18" t="str">
        <f t="shared" si="5"/>
        <v/>
      </c>
      <c r="P17" s="18" t="str">
        <f t="shared" si="5"/>
        <v/>
      </c>
      <c r="Q17" s="18" t="str">
        <f t="shared" si="6"/>
        <v/>
      </c>
      <c r="R17" s="18" t="str">
        <f t="shared" si="6"/>
        <v/>
      </c>
      <c r="S17" s="18" t="str">
        <f t="shared" si="6"/>
        <v/>
      </c>
      <c r="T17" s="18" t="str">
        <f t="shared" si="6"/>
        <v/>
      </c>
      <c r="U17" s="18" t="str">
        <f t="shared" si="6"/>
        <v/>
      </c>
      <c r="V17" s="18" t="str">
        <f t="shared" si="6"/>
        <v/>
      </c>
      <c r="W17" s="18" t="str">
        <f t="shared" si="6"/>
        <v/>
      </c>
      <c r="X17" s="18" t="str">
        <f t="shared" si="6"/>
        <v/>
      </c>
      <c r="Y17" s="18" t="str">
        <f t="shared" si="6"/>
        <v/>
      </c>
      <c r="Z17" s="18" t="str">
        <f t="shared" si="6"/>
        <v/>
      </c>
      <c r="AA17" s="18" t="str">
        <f t="shared" si="7"/>
        <v/>
      </c>
      <c r="AB17" s="18" t="str">
        <f t="shared" si="7"/>
        <v/>
      </c>
      <c r="AC17" s="18" t="str">
        <f t="shared" si="7"/>
        <v/>
      </c>
      <c r="AD17" s="18" t="str">
        <f t="shared" si="7"/>
        <v/>
      </c>
      <c r="AE17" s="18" t="str">
        <f t="shared" si="7"/>
        <v/>
      </c>
      <c r="AF17" s="18" t="str">
        <f t="shared" si="7"/>
        <v/>
      </c>
      <c r="AG17" s="18" t="str">
        <f t="shared" si="7"/>
        <v/>
      </c>
      <c r="AH17" s="18" t="str">
        <f t="shared" si="7"/>
        <v/>
      </c>
      <c r="AI17" s="18" t="str">
        <f t="shared" si="7"/>
        <v/>
      </c>
      <c r="AJ17" s="18" t="str">
        <f t="shared" si="7"/>
        <v/>
      </c>
      <c r="AK17" s="19" t="str">
        <f t="shared" si="8"/>
        <v/>
      </c>
      <c r="AL17" s="19" t="str">
        <f t="shared" si="8"/>
        <v/>
      </c>
      <c r="AM17" s="19" t="str">
        <f t="shared" si="8"/>
        <v/>
      </c>
      <c r="AN17" s="19" t="str">
        <f t="shared" si="8"/>
        <v/>
      </c>
      <c r="AO17" s="19" t="str">
        <f t="shared" si="8"/>
        <v/>
      </c>
      <c r="AP17" s="19" t="str">
        <f t="shared" si="8"/>
        <v/>
      </c>
      <c r="AQ17" s="19" t="str">
        <f t="shared" si="8"/>
        <v/>
      </c>
      <c r="AR17" s="19" t="str">
        <f t="shared" si="8"/>
        <v/>
      </c>
      <c r="AS17" s="19" t="str">
        <f t="shared" si="8"/>
        <v/>
      </c>
      <c r="AT17" s="19" t="str">
        <f t="shared" si="8"/>
        <v/>
      </c>
      <c r="AU17" s="19" t="str">
        <f t="shared" si="9"/>
        <v/>
      </c>
      <c r="AV17" s="19" t="str">
        <f t="shared" si="9"/>
        <v/>
      </c>
      <c r="AW17" s="19" t="str">
        <f t="shared" si="9"/>
        <v/>
      </c>
      <c r="AX17" s="19" t="str">
        <f t="shared" si="9"/>
        <v/>
      </c>
      <c r="AY17" s="19" t="str">
        <f t="shared" si="9"/>
        <v/>
      </c>
      <c r="AZ17" s="19" t="str">
        <f t="shared" si="9"/>
        <v/>
      </c>
      <c r="BA17" s="19" t="str">
        <f t="shared" si="9"/>
        <v/>
      </c>
      <c r="BB17" s="19" t="str">
        <f t="shared" si="9"/>
        <v/>
      </c>
      <c r="BC17" s="19" t="str">
        <f t="shared" si="9"/>
        <v/>
      </c>
      <c r="BD17" s="19" t="str">
        <f t="shared" si="9"/>
        <v/>
      </c>
    </row>
    <row r="18" spans="1:56" ht="24" customHeight="1">
      <c r="A18" s="11" t="str">
        <f>'01_KeHoach'!A18</f>
        <v>WBS-2.1</v>
      </c>
      <c r="B18" s="7" t="str">
        <f>'01_KeHoach'!C18</f>
        <v>W2</v>
      </c>
      <c r="C18" s="7" t="str">
        <f>'01_KeHoach'!B18</f>
        <v>Target &amp; Compatibility</v>
      </c>
      <c r="D18" s="7" t="str">
        <f>'01_KeHoach'!D18</f>
        <v>Nghiên cứu target ứng viên</v>
      </c>
      <c r="E18" s="15">
        <f>'01_KeHoach'!G18</f>
        <v>46265</v>
      </c>
      <c r="F18" s="15">
        <f>'01_KeHoach'!H18</f>
        <v>46267</v>
      </c>
      <c r="G18" s="18" t="str">
        <f t="shared" si="5"/>
        <v/>
      </c>
      <c r="H18" s="18" t="str">
        <f t="shared" si="5"/>
        <v/>
      </c>
      <c r="I18" s="18" t="str">
        <f t="shared" si="5"/>
        <v/>
      </c>
      <c r="J18" s="18" t="str">
        <f t="shared" si="5"/>
        <v/>
      </c>
      <c r="K18" s="18" t="str">
        <f t="shared" si="5"/>
        <v/>
      </c>
      <c r="L18" s="18" t="str">
        <f t="shared" si="5"/>
        <v>■</v>
      </c>
      <c r="M18" s="18" t="str">
        <f t="shared" si="5"/>
        <v>■</v>
      </c>
      <c r="N18" s="18" t="str">
        <f t="shared" si="5"/>
        <v>■</v>
      </c>
      <c r="O18" s="18" t="str">
        <f t="shared" si="5"/>
        <v/>
      </c>
      <c r="P18" s="18" t="str">
        <f t="shared" si="5"/>
        <v/>
      </c>
      <c r="Q18" s="18" t="str">
        <f t="shared" si="6"/>
        <v/>
      </c>
      <c r="R18" s="18" t="str">
        <f t="shared" si="6"/>
        <v/>
      </c>
      <c r="S18" s="18" t="str">
        <f t="shared" si="6"/>
        <v/>
      </c>
      <c r="T18" s="18" t="str">
        <f t="shared" si="6"/>
        <v/>
      </c>
      <c r="U18" s="18" t="str">
        <f t="shared" si="6"/>
        <v/>
      </c>
      <c r="V18" s="18" t="str">
        <f t="shared" si="6"/>
        <v/>
      </c>
      <c r="W18" s="18" t="str">
        <f t="shared" si="6"/>
        <v/>
      </c>
      <c r="X18" s="18" t="str">
        <f t="shared" si="6"/>
        <v/>
      </c>
      <c r="Y18" s="18" t="str">
        <f t="shared" si="6"/>
        <v/>
      </c>
      <c r="Z18" s="18" t="str">
        <f t="shared" si="6"/>
        <v/>
      </c>
      <c r="AA18" s="18" t="str">
        <f t="shared" si="7"/>
        <v/>
      </c>
      <c r="AB18" s="18" t="str">
        <f t="shared" si="7"/>
        <v/>
      </c>
      <c r="AC18" s="18" t="str">
        <f t="shared" si="7"/>
        <v/>
      </c>
      <c r="AD18" s="18" t="str">
        <f t="shared" si="7"/>
        <v/>
      </c>
      <c r="AE18" s="18" t="str">
        <f t="shared" si="7"/>
        <v/>
      </c>
      <c r="AF18" s="18" t="str">
        <f t="shared" si="7"/>
        <v/>
      </c>
      <c r="AG18" s="18" t="str">
        <f t="shared" si="7"/>
        <v/>
      </c>
      <c r="AH18" s="18" t="str">
        <f t="shared" si="7"/>
        <v/>
      </c>
      <c r="AI18" s="18" t="str">
        <f t="shared" si="7"/>
        <v/>
      </c>
      <c r="AJ18" s="18" t="str">
        <f t="shared" si="7"/>
        <v/>
      </c>
      <c r="AK18" s="19" t="str">
        <f t="shared" si="8"/>
        <v/>
      </c>
      <c r="AL18" s="19" t="str">
        <f t="shared" si="8"/>
        <v/>
      </c>
      <c r="AM18" s="19" t="str">
        <f t="shared" si="8"/>
        <v/>
      </c>
      <c r="AN18" s="19" t="str">
        <f t="shared" si="8"/>
        <v/>
      </c>
      <c r="AO18" s="19" t="str">
        <f t="shared" si="8"/>
        <v/>
      </c>
      <c r="AP18" s="19" t="str">
        <f t="shared" si="8"/>
        <v/>
      </c>
      <c r="AQ18" s="19" t="str">
        <f t="shared" si="8"/>
        <v/>
      </c>
      <c r="AR18" s="19" t="str">
        <f t="shared" si="8"/>
        <v/>
      </c>
      <c r="AS18" s="19" t="str">
        <f t="shared" si="8"/>
        <v/>
      </c>
      <c r="AT18" s="19" t="str">
        <f t="shared" si="8"/>
        <v/>
      </c>
      <c r="AU18" s="19" t="str">
        <f t="shared" si="9"/>
        <v/>
      </c>
      <c r="AV18" s="19" t="str">
        <f t="shared" si="9"/>
        <v/>
      </c>
      <c r="AW18" s="19" t="str">
        <f t="shared" si="9"/>
        <v/>
      </c>
      <c r="AX18" s="19" t="str">
        <f t="shared" si="9"/>
        <v/>
      </c>
      <c r="AY18" s="19" t="str">
        <f t="shared" si="9"/>
        <v/>
      </c>
      <c r="AZ18" s="19" t="str">
        <f t="shared" si="9"/>
        <v/>
      </c>
      <c r="BA18" s="19" t="str">
        <f t="shared" si="9"/>
        <v/>
      </c>
      <c r="BB18" s="19" t="str">
        <f t="shared" si="9"/>
        <v/>
      </c>
      <c r="BC18" s="19" t="str">
        <f t="shared" si="9"/>
        <v/>
      </c>
      <c r="BD18" s="19" t="str">
        <f t="shared" si="9"/>
        <v/>
      </c>
    </row>
    <row r="19" spans="1:56" ht="24" customHeight="1">
      <c r="A19" s="11" t="str">
        <f>'01_KeHoach'!A19</f>
        <v>WBS-2.2</v>
      </c>
      <c r="B19" s="7" t="str">
        <f>'01_KeHoach'!C19</f>
        <v>W2</v>
      </c>
      <c r="C19" s="7" t="str">
        <f>'01_KeHoach'!B19</f>
        <v>Target &amp; Compatibility</v>
      </c>
      <c r="D19" s="7" t="str">
        <f>'01_KeHoach'!D19</f>
        <v>Xác minh đường nâng cấp được hỗ trợ</v>
      </c>
      <c r="E19" s="15">
        <f>'01_KeHoach'!G19</f>
        <v>46265</v>
      </c>
      <c r="F19" s="15">
        <f>'01_KeHoach'!H19</f>
        <v>46267</v>
      </c>
      <c r="G19" s="18" t="str">
        <f t="shared" si="5"/>
        <v/>
      </c>
      <c r="H19" s="18" t="str">
        <f t="shared" si="5"/>
        <v/>
      </c>
      <c r="I19" s="18" t="str">
        <f t="shared" si="5"/>
        <v/>
      </c>
      <c r="J19" s="18" t="str">
        <f t="shared" si="5"/>
        <v/>
      </c>
      <c r="K19" s="18" t="str">
        <f t="shared" si="5"/>
        <v/>
      </c>
      <c r="L19" s="18" t="str">
        <f t="shared" si="5"/>
        <v>■</v>
      </c>
      <c r="M19" s="18" t="str">
        <f t="shared" si="5"/>
        <v>■</v>
      </c>
      <c r="N19" s="18" t="str">
        <f t="shared" si="5"/>
        <v>■</v>
      </c>
      <c r="O19" s="18" t="str">
        <f t="shared" si="5"/>
        <v/>
      </c>
      <c r="P19" s="18" t="str">
        <f t="shared" si="5"/>
        <v/>
      </c>
      <c r="Q19" s="18" t="str">
        <f t="shared" si="6"/>
        <v/>
      </c>
      <c r="R19" s="18" t="str">
        <f t="shared" si="6"/>
        <v/>
      </c>
      <c r="S19" s="18" t="str">
        <f t="shared" si="6"/>
        <v/>
      </c>
      <c r="T19" s="18" t="str">
        <f t="shared" si="6"/>
        <v/>
      </c>
      <c r="U19" s="18" t="str">
        <f t="shared" si="6"/>
        <v/>
      </c>
      <c r="V19" s="18" t="str">
        <f t="shared" si="6"/>
        <v/>
      </c>
      <c r="W19" s="18" t="str">
        <f t="shared" si="6"/>
        <v/>
      </c>
      <c r="X19" s="18" t="str">
        <f t="shared" si="6"/>
        <v/>
      </c>
      <c r="Y19" s="18" t="str">
        <f t="shared" si="6"/>
        <v/>
      </c>
      <c r="Z19" s="18" t="str">
        <f t="shared" si="6"/>
        <v/>
      </c>
      <c r="AA19" s="18" t="str">
        <f t="shared" si="7"/>
        <v/>
      </c>
      <c r="AB19" s="18" t="str">
        <f t="shared" si="7"/>
        <v/>
      </c>
      <c r="AC19" s="18" t="str">
        <f t="shared" si="7"/>
        <v/>
      </c>
      <c r="AD19" s="18" t="str">
        <f t="shared" si="7"/>
        <v/>
      </c>
      <c r="AE19" s="18" t="str">
        <f t="shared" si="7"/>
        <v/>
      </c>
      <c r="AF19" s="18" t="str">
        <f t="shared" si="7"/>
        <v/>
      </c>
      <c r="AG19" s="18" t="str">
        <f t="shared" si="7"/>
        <v/>
      </c>
      <c r="AH19" s="18" t="str">
        <f t="shared" si="7"/>
        <v/>
      </c>
      <c r="AI19" s="18" t="str">
        <f t="shared" si="7"/>
        <v/>
      </c>
      <c r="AJ19" s="18" t="str">
        <f t="shared" si="7"/>
        <v/>
      </c>
      <c r="AK19" s="19" t="str">
        <f t="shared" si="8"/>
        <v/>
      </c>
      <c r="AL19" s="19" t="str">
        <f t="shared" si="8"/>
        <v/>
      </c>
      <c r="AM19" s="19" t="str">
        <f t="shared" si="8"/>
        <v/>
      </c>
      <c r="AN19" s="19" t="str">
        <f t="shared" si="8"/>
        <v/>
      </c>
      <c r="AO19" s="19" t="str">
        <f t="shared" si="8"/>
        <v/>
      </c>
      <c r="AP19" s="19" t="str">
        <f t="shared" si="8"/>
        <v/>
      </c>
      <c r="AQ19" s="19" t="str">
        <f t="shared" si="8"/>
        <v/>
      </c>
      <c r="AR19" s="19" t="str">
        <f t="shared" si="8"/>
        <v/>
      </c>
      <c r="AS19" s="19" t="str">
        <f t="shared" si="8"/>
        <v/>
      </c>
      <c r="AT19" s="19" t="str">
        <f t="shared" si="8"/>
        <v/>
      </c>
      <c r="AU19" s="19" t="str">
        <f t="shared" si="9"/>
        <v/>
      </c>
      <c r="AV19" s="19" t="str">
        <f t="shared" si="9"/>
        <v/>
      </c>
      <c r="AW19" s="19" t="str">
        <f t="shared" si="9"/>
        <v/>
      </c>
      <c r="AX19" s="19" t="str">
        <f t="shared" si="9"/>
        <v/>
      </c>
      <c r="AY19" s="19" t="str">
        <f t="shared" si="9"/>
        <v/>
      </c>
      <c r="AZ19" s="19" t="str">
        <f t="shared" si="9"/>
        <v/>
      </c>
      <c r="BA19" s="19" t="str">
        <f t="shared" si="9"/>
        <v/>
      </c>
      <c r="BB19" s="19" t="str">
        <f t="shared" si="9"/>
        <v/>
      </c>
      <c r="BC19" s="19" t="str">
        <f t="shared" si="9"/>
        <v/>
      </c>
      <c r="BD19" s="19" t="str">
        <f t="shared" si="9"/>
        <v/>
      </c>
    </row>
    <row r="20" spans="1:56" ht="24" customHeight="1">
      <c r="A20" s="11" t="str">
        <f>'01_KeHoach'!A20</f>
        <v>WBS-2.3</v>
      </c>
      <c r="B20" s="7" t="str">
        <f>'01_KeHoach'!C20</f>
        <v>W2</v>
      </c>
      <c r="C20" s="7" t="str">
        <f>'01_KeHoach'!B20</f>
        <v>Target &amp; Compatibility</v>
      </c>
      <c r="D20" s="7" t="str">
        <f>'01_KeHoach'!D20</f>
        <v>Định nghĩa tiêu chí chọn target</v>
      </c>
      <c r="E20" s="15">
        <f>'01_KeHoach'!G20</f>
        <v>46265</v>
      </c>
      <c r="F20" s="15">
        <f>'01_KeHoach'!H20</f>
        <v>46266</v>
      </c>
      <c r="G20" s="18" t="str">
        <f t="shared" si="5"/>
        <v/>
      </c>
      <c r="H20" s="18" t="str">
        <f t="shared" si="5"/>
        <v/>
      </c>
      <c r="I20" s="18" t="str">
        <f t="shared" si="5"/>
        <v/>
      </c>
      <c r="J20" s="18" t="str">
        <f t="shared" si="5"/>
        <v/>
      </c>
      <c r="K20" s="18" t="str">
        <f t="shared" si="5"/>
        <v/>
      </c>
      <c r="L20" s="18" t="str">
        <f t="shared" si="5"/>
        <v>■</v>
      </c>
      <c r="M20" s="18" t="str">
        <f t="shared" si="5"/>
        <v>■</v>
      </c>
      <c r="N20" s="18" t="str">
        <f t="shared" si="5"/>
        <v/>
      </c>
      <c r="O20" s="18" t="str">
        <f t="shared" si="5"/>
        <v/>
      </c>
      <c r="P20" s="18" t="str">
        <f t="shared" si="5"/>
        <v/>
      </c>
      <c r="Q20" s="18" t="str">
        <f t="shared" si="6"/>
        <v/>
      </c>
      <c r="R20" s="18" t="str">
        <f t="shared" si="6"/>
        <v/>
      </c>
      <c r="S20" s="18" t="str">
        <f t="shared" si="6"/>
        <v/>
      </c>
      <c r="T20" s="18" t="str">
        <f t="shared" si="6"/>
        <v/>
      </c>
      <c r="U20" s="18" t="str">
        <f t="shared" si="6"/>
        <v/>
      </c>
      <c r="V20" s="18" t="str">
        <f t="shared" si="6"/>
        <v/>
      </c>
      <c r="W20" s="18" t="str">
        <f t="shared" si="6"/>
        <v/>
      </c>
      <c r="X20" s="18" t="str">
        <f t="shared" si="6"/>
        <v/>
      </c>
      <c r="Y20" s="18" t="str">
        <f t="shared" si="6"/>
        <v/>
      </c>
      <c r="Z20" s="18" t="str">
        <f t="shared" si="6"/>
        <v/>
      </c>
      <c r="AA20" s="18" t="str">
        <f t="shared" si="7"/>
        <v/>
      </c>
      <c r="AB20" s="18" t="str">
        <f t="shared" si="7"/>
        <v/>
      </c>
      <c r="AC20" s="18" t="str">
        <f t="shared" si="7"/>
        <v/>
      </c>
      <c r="AD20" s="18" t="str">
        <f t="shared" si="7"/>
        <v/>
      </c>
      <c r="AE20" s="18" t="str">
        <f t="shared" si="7"/>
        <v/>
      </c>
      <c r="AF20" s="18" t="str">
        <f t="shared" si="7"/>
        <v/>
      </c>
      <c r="AG20" s="18" t="str">
        <f t="shared" si="7"/>
        <v/>
      </c>
      <c r="AH20" s="18" t="str">
        <f t="shared" si="7"/>
        <v/>
      </c>
      <c r="AI20" s="18" t="str">
        <f t="shared" si="7"/>
        <v/>
      </c>
      <c r="AJ20" s="18" t="str">
        <f t="shared" si="7"/>
        <v/>
      </c>
      <c r="AK20" s="19" t="str">
        <f t="shared" si="8"/>
        <v/>
      </c>
      <c r="AL20" s="19" t="str">
        <f t="shared" si="8"/>
        <v/>
      </c>
      <c r="AM20" s="19" t="str">
        <f t="shared" si="8"/>
        <v/>
      </c>
      <c r="AN20" s="19" t="str">
        <f t="shared" si="8"/>
        <v/>
      </c>
      <c r="AO20" s="19" t="str">
        <f t="shared" si="8"/>
        <v/>
      </c>
      <c r="AP20" s="19" t="str">
        <f t="shared" si="8"/>
        <v/>
      </c>
      <c r="AQ20" s="19" t="str">
        <f t="shared" si="8"/>
        <v/>
      </c>
      <c r="AR20" s="19" t="str">
        <f t="shared" si="8"/>
        <v/>
      </c>
      <c r="AS20" s="19" t="str">
        <f t="shared" si="8"/>
        <v/>
      </c>
      <c r="AT20" s="19" t="str">
        <f t="shared" si="8"/>
        <v/>
      </c>
      <c r="AU20" s="19" t="str">
        <f t="shared" si="9"/>
        <v/>
      </c>
      <c r="AV20" s="19" t="str">
        <f t="shared" si="9"/>
        <v/>
      </c>
      <c r="AW20" s="19" t="str">
        <f t="shared" si="9"/>
        <v/>
      </c>
      <c r="AX20" s="19" t="str">
        <f t="shared" si="9"/>
        <v/>
      </c>
      <c r="AY20" s="19" t="str">
        <f t="shared" si="9"/>
        <v/>
      </c>
      <c r="AZ20" s="19" t="str">
        <f t="shared" si="9"/>
        <v/>
      </c>
      <c r="BA20" s="19" t="str">
        <f t="shared" si="9"/>
        <v/>
      </c>
      <c r="BB20" s="19" t="str">
        <f t="shared" si="9"/>
        <v/>
      </c>
      <c r="BC20" s="19" t="str">
        <f t="shared" si="9"/>
        <v/>
      </c>
      <c r="BD20" s="19" t="str">
        <f t="shared" si="9"/>
        <v/>
      </c>
    </row>
    <row r="21" spans="1:56" ht="24" customHeight="1">
      <c r="A21" s="11" t="str">
        <f>'01_KeHoach'!A21</f>
        <v>WBS-2.4</v>
      </c>
      <c r="B21" s="7" t="str">
        <f>'01_KeHoach'!C21</f>
        <v>W2</v>
      </c>
      <c r="C21" s="7" t="str">
        <f>'01_KeHoach'!B21</f>
        <v>Target &amp; Compatibility</v>
      </c>
      <c r="D21" s="7" t="str">
        <f>'01_KeHoach'!D21</f>
        <v>Thiết kế schema compatibility matrix</v>
      </c>
      <c r="E21" s="15">
        <f>'01_KeHoach'!G21</f>
        <v>46267</v>
      </c>
      <c r="F21" s="15">
        <f>'01_KeHoach'!H21</f>
        <v>46269</v>
      </c>
      <c r="G21" s="18" t="str">
        <f t="shared" si="5"/>
        <v/>
      </c>
      <c r="H21" s="18" t="str">
        <f t="shared" si="5"/>
        <v/>
      </c>
      <c r="I21" s="18" t="str">
        <f t="shared" si="5"/>
        <v/>
      </c>
      <c r="J21" s="18" t="str">
        <f t="shared" si="5"/>
        <v/>
      </c>
      <c r="K21" s="18" t="str">
        <f t="shared" si="5"/>
        <v/>
      </c>
      <c r="L21" s="18" t="str">
        <f t="shared" si="5"/>
        <v/>
      </c>
      <c r="M21" s="18" t="str">
        <f t="shared" si="5"/>
        <v/>
      </c>
      <c r="N21" s="18" t="str">
        <f t="shared" si="5"/>
        <v>■</v>
      </c>
      <c r="O21" s="18" t="str">
        <f t="shared" si="5"/>
        <v>■</v>
      </c>
      <c r="P21" s="18" t="str">
        <f t="shared" si="5"/>
        <v>■</v>
      </c>
      <c r="Q21" s="18" t="str">
        <f t="shared" si="6"/>
        <v/>
      </c>
      <c r="R21" s="18" t="str">
        <f t="shared" si="6"/>
        <v/>
      </c>
      <c r="S21" s="18" t="str">
        <f t="shared" si="6"/>
        <v/>
      </c>
      <c r="T21" s="18" t="str">
        <f t="shared" si="6"/>
        <v/>
      </c>
      <c r="U21" s="18" t="str">
        <f t="shared" si="6"/>
        <v/>
      </c>
      <c r="V21" s="18" t="str">
        <f t="shared" si="6"/>
        <v/>
      </c>
      <c r="W21" s="18" t="str">
        <f t="shared" si="6"/>
        <v/>
      </c>
      <c r="X21" s="18" t="str">
        <f t="shared" si="6"/>
        <v/>
      </c>
      <c r="Y21" s="18" t="str">
        <f t="shared" si="6"/>
        <v/>
      </c>
      <c r="Z21" s="18" t="str">
        <f t="shared" si="6"/>
        <v/>
      </c>
      <c r="AA21" s="18" t="str">
        <f t="shared" si="7"/>
        <v/>
      </c>
      <c r="AB21" s="18" t="str">
        <f t="shared" si="7"/>
        <v/>
      </c>
      <c r="AC21" s="18" t="str">
        <f t="shared" si="7"/>
        <v/>
      </c>
      <c r="AD21" s="18" t="str">
        <f t="shared" si="7"/>
        <v/>
      </c>
      <c r="AE21" s="18" t="str">
        <f t="shared" si="7"/>
        <v/>
      </c>
      <c r="AF21" s="18" t="str">
        <f t="shared" si="7"/>
        <v/>
      </c>
      <c r="AG21" s="18" t="str">
        <f t="shared" si="7"/>
        <v/>
      </c>
      <c r="AH21" s="18" t="str">
        <f t="shared" si="7"/>
        <v/>
      </c>
      <c r="AI21" s="18" t="str">
        <f t="shared" si="7"/>
        <v/>
      </c>
      <c r="AJ21" s="18" t="str">
        <f t="shared" si="7"/>
        <v/>
      </c>
      <c r="AK21" s="19" t="str">
        <f t="shared" si="8"/>
        <v/>
      </c>
      <c r="AL21" s="19" t="str">
        <f t="shared" si="8"/>
        <v/>
      </c>
      <c r="AM21" s="19" t="str">
        <f t="shared" si="8"/>
        <v/>
      </c>
      <c r="AN21" s="19" t="str">
        <f t="shared" si="8"/>
        <v/>
      </c>
      <c r="AO21" s="19" t="str">
        <f t="shared" si="8"/>
        <v/>
      </c>
      <c r="AP21" s="19" t="str">
        <f t="shared" si="8"/>
        <v/>
      </c>
      <c r="AQ21" s="19" t="str">
        <f t="shared" si="8"/>
        <v/>
      </c>
      <c r="AR21" s="19" t="str">
        <f t="shared" si="8"/>
        <v/>
      </c>
      <c r="AS21" s="19" t="str">
        <f t="shared" si="8"/>
        <v/>
      </c>
      <c r="AT21" s="19" t="str">
        <f t="shared" si="8"/>
        <v/>
      </c>
      <c r="AU21" s="19" t="str">
        <f t="shared" si="9"/>
        <v/>
      </c>
      <c r="AV21" s="19" t="str">
        <f t="shared" si="9"/>
        <v/>
      </c>
      <c r="AW21" s="19" t="str">
        <f t="shared" si="9"/>
        <v/>
      </c>
      <c r="AX21" s="19" t="str">
        <f t="shared" si="9"/>
        <v/>
      </c>
      <c r="AY21" s="19" t="str">
        <f t="shared" si="9"/>
        <v/>
      </c>
      <c r="AZ21" s="19" t="str">
        <f t="shared" si="9"/>
        <v/>
      </c>
      <c r="BA21" s="19" t="str">
        <f t="shared" si="9"/>
        <v/>
      </c>
      <c r="BB21" s="19" t="str">
        <f t="shared" si="9"/>
        <v/>
      </c>
      <c r="BC21" s="19" t="str">
        <f t="shared" si="9"/>
        <v/>
      </c>
      <c r="BD21" s="19" t="str">
        <f t="shared" si="9"/>
        <v/>
      </c>
    </row>
    <row r="22" spans="1:56" ht="24" customHeight="1">
      <c r="A22" s="11" t="str">
        <f>'01_KeHoach'!A22</f>
        <v>WBS-2.5</v>
      </c>
      <c r="B22" s="7" t="str">
        <f>'01_KeHoach'!C22</f>
        <v>W3</v>
      </c>
      <c r="C22" s="7" t="str">
        <f>'01_KeHoach'!B22</f>
        <v>Target &amp; Compatibility</v>
      </c>
      <c r="D22" s="7" t="str">
        <f>'01_KeHoach'!D22</f>
        <v>Lập Compatibility Matrix H1</v>
      </c>
      <c r="E22" s="15">
        <f>'01_KeHoach'!G22</f>
        <v>46272</v>
      </c>
      <c r="F22" s="15">
        <f>'01_KeHoach'!H22</f>
        <v>46273</v>
      </c>
      <c r="G22" s="18" t="str">
        <f t="shared" si="5"/>
        <v/>
      </c>
      <c r="H22" s="18" t="str">
        <f t="shared" si="5"/>
        <v/>
      </c>
      <c r="I22" s="18" t="str">
        <f t="shared" si="5"/>
        <v/>
      </c>
      <c r="J22" s="18" t="str">
        <f t="shared" si="5"/>
        <v/>
      </c>
      <c r="K22" s="18" t="str">
        <f t="shared" si="5"/>
        <v/>
      </c>
      <c r="L22" s="18" t="str">
        <f t="shared" si="5"/>
        <v/>
      </c>
      <c r="M22" s="18" t="str">
        <f t="shared" si="5"/>
        <v/>
      </c>
      <c r="N22" s="18" t="str">
        <f t="shared" si="5"/>
        <v/>
      </c>
      <c r="O22" s="18" t="str">
        <f t="shared" si="5"/>
        <v/>
      </c>
      <c r="P22" s="18" t="str">
        <f t="shared" si="5"/>
        <v/>
      </c>
      <c r="Q22" s="18" t="str">
        <f t="shared" si="6"/>
        <v>■</v>
      </c>
      <c r="R22" s="18" t="str">
        <f t="shared" si="6"/>
        <v>■</v>
      </c>
      <c r="S22" s="18" t="str">
        <f t="shared" si="6"/>
        <v/>
      </c>
      <c r="T22" s="18" t="str">
        <f t="shared" si="6"/>
        <v/>
      </c>
      <c r="U22" s="18" t="str">
        <f t="shared" si="6"/>
        <v/>
      </c>
      <c r="V22" s="18" t="str">
        <f t="shared" si="6"/>
        <v/>
      </c>
      <c r="W22" s="18" t="str">
        <f t="shared" si="6"/>
        <v/>
      </c>
      <c r="X22" s="18" t="str">
        <f t="shared" si="6"/>
        <v/>
      </c>
      <c r="Y22" s="18" t="str">
        <f t="shared" si="6"/>
        <v/>
      </c>
      <c r="Z22" s="18" t="str">
        <f t="shared" si="6"/>
        <v/>
      </c>
      <c r="AA22" s="18" t="str">
        <f t="shared" si="7"/>
        <v/>
      </c>
      <c r="AB22" s="18" t="str">
        <f t="shared" si="7"/>
        <v/>
      </c>
      <c r="AC22" s="18" t="str">
        <f t="shared" si="7"/>
        <v/>
      </c>
      <c r="AD22" s="18" t="str">
        <f t="shared" si="7"/>
        <v/>
      </c>
      <c r="AE22" s="18" t="str">
        <f t="shared" si="7"/>
        <v/>
      </c>
      <c r="AF22" s="18" t="str">
        <f t="shared" si="7"/>
        <v/>
      </c>
      <c r="AG22" s="18" t="str">
        <f t="shared" si="7"/>
        <v/>
      </c>
      <c r="AH22" s="18" t="str">
        <f t="shared" si="7"/>
        <v/>
      </c>
      <c r="AI22" s="18" t="str">
        <f t="shared" si="7"/>
        <v/>
      </c>
      <c r="AJ22" s="18" t="str">
        <f t="shared" si="7"/>
        <v/>
      </c>
      <c r="AK22" s="19" t="str">
        <f t="shared" si="8"/>
        <v/>
      </c>
      <c r="AL22" s="19" t="str">
        <f t="shared" si="8"/>
        <v/>
      </c>
      <c r="AM22" s="19" t="str">
        <f t="shared" si="8"/>
        <v/>
      </c>
      <c r="AN22" s="19" t="str">
        <f t="shared" si="8"/>
        <v/>
      </c>
      <c r="AO22" s="19" t="str">
        <f t="shared" si="8"/>
        <v/>
      </c>
      <c r="AP22" s="19" t="str">
        <f t="shared" si="8"/>
        <v/>
      </c>
      <c r="AQ22" s="19" t="str">
        <f t="shared" si="8"/>
        <v/>
      </c>
      <c r="AR22" s="19" t="str">
        <f t="shared" si="8"/>
        <v/>
      </c>
      <c r="AS22" s="19" t="str">
        <f t="shared" si="8"/>
        <v/>
      </c>
      <c r="AT22" s="19" t="str">
        <f t="shared" si="8"/>
        <v/>
      </c>
      <c r="AU22" s="19" t="str">
        <f t="shared" si="9"/>
        <v/>
      </c>
      <c r="AV22" s="19" t="str">
        <f t="shared" si="9"/>
        <v/>
      </c>
      <c r="AW22" s="19" t="str">
        <f t="shared" si="9"/>
        <v/>
      </c>
      <c r="AX22" s="19" t="str">
        <f t="shared" si="9"/>
        <v/>
      </c>
      <c r="AY22" s="19" t="str">
        <f t="shared" si="9"/>
        <v/>
      </c>
      <c r="AZ22" s="19" t="str">
        <f t="shared" si="9"/>
        <v/>
      </c>
      <c r="BA22" s="19" t="str">
        <f t="shared" si="9"/>
        <v/>
      </c>
      <c r="BB22" s="19" t="str">
        <f t="shared" si="9"/>
        <v/>
      </c>
      <c r="BC22" s="19" t="str">
        <f t="shared" si="9"/>
        <v/>
      </c>
      <c r="BD22" s="19" t="str">
        <f t="shared" si="9"/>
        <v/>
      </c>
    </row>
    <row r="23" spans="1:56" ht="24" customHeight="1">
      <c r="A23" s="11" t="str">
        <f>'01_KeHoach'!A23</f>
        <v>WBS-2.6</v>
      </c>
      <c r="B23" s="7" t="str">
        <f>'01_KeHoach'!C23</f>
        <v>W3</v>
      </c>
      <c r="C23" s="7" t="str">
        <f>'01_KeHoach'!B23</f>
        <v>Target &amp; Compatibility</v>
      </c>
      <c r="D23" s="7" t="str">
        <f>'01_KeHoach'!D23</f>
        <v>Lập Compatibility Matrix H2</v>
      </c>
      <c r="E23" s="15">
        <f>'01_KeHoach'!G23</f>
        <v>46272</v>
      </c>
      <c r="F23" s="15">
        <f>'01_KeHoach'!H23</f>
        <v>46274</v>
      </c>
      <c r="G23" s="18" t="str">
        <f t="shared" si="5"/>
        <v/>
      </c>
      <c r="H23" s="18" t="str">
        <f t="shared" si="5"/>
        <v/>
      </c>
      <c r="I23" s="18" t="str">
        <f t="shared" si="5"/>
        <v/>
      </c>
      <c r="J23" s="18" t="str">
        <f t="shared" si="5"/>
        <v/>
      </c>
      <c r="K23" s="18" t="str">
        <f t="shared" si="5"/>
        <v/>
      </c>
      <c r="L23" s="18" t="str">
        <f t="shared" si="5"/>
        <v/>
      </c>
      <c r="M23" s="18" t="str">
        <f t="shared" si="5"/>
        <v/>
      </c>
      <c r="N23" s="18" t="str">
        <f t="shared" si="5"/>
        <v/>
      </c>
      <c r="O23" s="18" t="str">
        <f t="shared" si="5"/>
        <v/>
      </c>
      <c r="P23" s="18" t="str">
        <f t="shared" si="5"/>
        <v/>
      </c>
      <c r="Q23" s="18" t="str">
        <f t="shared" si="6"/>
        <v>■</v>
      </c>
      <c r="R23" s="18" t="str">
        <f t="shared" si="6"/>
        <v>■</v>
      </c>
      <c r="S23" s="18" t="str">
        <f t="shared" si="6"/>
        <v>■</v>
      </c>
      <c r="T23" s="18" t="str">
        <f t="shared" si="6"/>
        <v/>
      </c>
      <c r="U23" s="18" t="str">
        <f t="shared" si="6"/>
        <v/>
      </c>
      <c r="V23" s="18" t="str">
        <f t="shared" si="6"/>
        <v/>
      </c>
      <c r="W23" s="18" t="str">
        <f t="shared" si="6"/>
        <v/>
      </c>
      <c r="X23" s="18" t="str">
        <f t="shared" si="6"/>
        <v/>
      </c>
      <c r="Y23" s="18" t="str">
        <f t="shared" si="6"/>
        <v/>
      </c>
      <c r="Z23" s="18" t="str">
        <f t="shared" si="6"/>
        <v/>
      </c>
      <c r="AA23" s="18" t="str">
        <f t="shared" si="7"/>
        <v/>
      </c>
      <c r="AB23" s="18" t="str">
        <f t="shared" si="7"/>
        <v/>
      </c>
      <c r="AC23" s="18" t="str">
        <f t="shared" si="7"/>
        <v/>
      </c>
      <c r="AD23" s="18" t="str">
        <f t="shared" si="7"/>
        <v/>
      </c>
      <c r="AE23" s="18" t="str">
        <f t="shared" si="7"/>
        <v/>
      </c>
      <c r="AF23" s="18" t="str">
        <f t="shared" si="7"/>
        <v/>
      </c>
      <c r="AG23" s="18" t="str">
        <f t="shared" si="7"/>
        <v/>
      </c>
      <c r="AH23" s="18" t="str">
        <f t="shared" si="7"/>
        <v/>
      </c>
      <c r="AI23" s="18" t="str">
        <f t="shared" si="7"/>
        <v/>
      </c>
      <c r="AJ23" s="18" t="str">
        <f t="shared" si="7"/>
        <v/>
      </c>
      <c r="AK23" s="19" t="str">
        <f t="shared" si="8"/>
        <v/>
      </c>
      <c r="AL23" s="19" t="str">
        <f t="shared" si="8"/>
        <v/>
      </c>
      <c r="AM23" s="19" t="str">
        <f t="shared" si="8"/>
        <v/>
      </c>
      <c r="AN23" s="19" t="str">
        <f t="shared" si="8"/>
        <v/>
      </c>
      <c r="AO23" s="19" t="str">
        <f t="shared" si="8"/>
        <v/>
      </c>
      <c r="AP23" s="19" t="str">
        <f t="shared" si="8"/>
        <v/>
      </c>
      <c r="AQ23" s="19" t="str">
        <f t="shared" si="8"/>
        <v/>
      </c>
      <c r="AR23" s="19" t="str">
        <f t="shared" si="8"/>
        <v/>
      </c>
      <c r="AS23" s="19" t="str">
        <f t="shared" si="8"/>
        <v/>
      </c>
      <c r="AT23" s="19" t="str">
        <f t="shared" si="8"/>
        <v/>
      </c>
      <c r="AU23" s="19" t="str">
        <f t="shared" si="9"/>
        <v/>
      </c>
      <c r="AV23" s="19" t="str">
        <f t="shared" si="9"/>
        <v/>
      </c>
      <c r="AW23" s="19" t="str">
        <f t="shared" si="9"/>
        <v/>
      </c>
      <c r="AX23" s="19" t="str">
        <f t="shared" si="9"/>
        <v/>
      </c>
      <c r="AY23" s="19" t="str">
        <f t="shared" si="9"/>
        <v/>
      </c>
      <c r="AZ23" s="19" t="str">
        <f t="shared" si="9"/>
        <v/>
      </c>
      <c r="BA23" s="19" t="str">
        <f t="shared" si="9"/>
        <v/>
      </c>
      <c r="BB23" s="19" t="str">
        <f t="shared" si="9"/>
        <v/>
      </c>
      <c r="BC23" s="19" t="str">
        <f t="shared" si="9"/>
        <v/>
      </c>
      <c r="BD23" s="19" t="str">
        <f t="shared" si="9"/>
        <v/>
      </c>
    </row>
    <row r="24" spans="1:56" ht="24" customHeight="1">
      <c r="A24" s="11" t="str">
        <f>'01_KeHoach'!A24</f>
        <v>WBS-2.7</v>
      </c>
      <c r="B24" s="7" t="str">
        <f>'01_KeHoach'!C24</f>
        <v>W3</v>
      </c>
      <c r="C24" s="7" t="str">
        <f>'01_KeHoach'!B24</f>
        <v>Target &amp; Compatibility</v>
      </c>
      <c r="D24" s="7" t="str">
        <f>'01_KeHoach'!D24</f>
        <v>Lập Compatibility Matrix H3</v>
      </c>
      <c r="E24" s="15">
        <f>'01_KeHoach'!G24</f>
        <v>46273</v>
      </c>
      <c r="F24" s="15">
        <f>'01_KeHoach'!H24</f>
        <v>46275</v>
      </c>
      <c r="G24" s="18" t="str">
        <f t="shared" si="5"/>
        <v/>
      </c>
      <c r="H24" s="18" t="str">
        <f t="shared" si="5"/>
        <v/>
      </c>
      <c r="I24" s="18" t="str">
        <f t="shared" si="5"/>
        <v/>
      </c>
      <c r="J24" s="18" t="str">
        <f t="shared" si="5"/>
        <v/>
      </c>
      <c r="K24" s="18" t="str">
        <f t="shared" si="5"/>
        <v/>
      </c>
      <c r="L24" s="18" t="str">
        <f t="shared" si="5"/>
        <v/>
      </c>
      <c r="M24" s="18" t="str">
        <f t="shared" si="5"/>
        <v/>
      </c>
      <c r="N24" s="18" t="str">
        <f t="shared" si="5"/>
        <v/>
      </c>
      <c r="O24" s="18" t="str">
        <f t="shared" si="5"/>
        <v/>
      </c>
      <c r="P24" s="18" t="str">
        <f t="shared" si="5"/>
        <v/>
      </c>
      <c r="Q24" s="18" t="str">
        <f t="shared" si="6"/>
        <v/>
      </c>
      <c r="R24" s="18" t="str">
        <f t="shared" si="6"/>
        <v>■</v>
      </c>
      <c r="S24" s="18" t="str">
        <f t="shared" si="6"/>
        <v>■</v>
      </c>
      <c r="T24" s="18" t="str">
        <f t="shared" si="6"/>
        <v>■</v>
      </c>
      <c r="U24" s="18" t="str">
        <f t="shared" si="6"/>
        <v/>
      </c>
      <c r="V24" s="18" t="str">
        <f t="shared" si="6"/>
        <v/>
      </c>
      <c r="W24" s="18" t="str">
        <f t="shared" si="6"/>
        <v/>
      </c>
      <c r="X24" s="18" t="str">
        <f t="shared" si="6"/>
        <v/>
      </c>
      <c r="Y24" s="18" t="str">
        <f t="shared" si="6"/>
        <v/>
      </c>
      <c r="Z24" s="18" t="str">
        <f t="shared" si="6"/>
        <v/>
      </c>
      <c r="AA24" s="18" t="str">
        <f t="shared" si="7"/>
        <v/>
      </c>
      <c r="AB24" s="18" t="str">
        <f t="shared" si="7"/>
        <v/>
      </c>
      <c r="AC24" s="18" t="str">
        <f t="shared" si="7"/>
        <v/>
      </c>
      <c r="AD24" s="18" t="str">
        <f t="shared" si="7"/>
        <v/>
      </c>
      <c r="AE24" s="18" t="str">
        <f t="shared" si="7"/>
        <v/>
      </c>
      <c r="AF24" s="18" t="str">
        <f t="shared" si="7"/>
        <v/>
      </c>
      <c r="AG24" s="18" t="str">
        <f t="shared" si="7"/>
        <v/>
      </c>
      <c r="AH24" s="18" t="str">
        <f t="shared" si="7"/>
        <v/>
      </c>
      <c r="AI24" s="18" t="str">
        <f t="shared" si="7"/>
        <v/>
      </c>
      <c r="AJ24" s="18" t="str">
        <f t="shared" si="7"/>
        <v/>
      </c>
      <c r="AK24" s="19" t="str">
        <f t="shared" si="8"/>
        <v/>
      </c>
      <c r="AL24" s="19" t="str">
        <f t="shared" si="8"/>
        <v/>
      </c>
      <c r="AM24" s="19" t="str">
        <f t="shared" si="8"/>
        <v/>
      </c>
      <c r="AN24" s="19" t="str">
        <f t="shared" si="8"/>
        <v/>
      </c>
      <c r="AO24" s="19" t="str">
        <f t="shared" si="8"/>
        <v/>
      </c>
      <c r="AP24" s="19" t="str">
        <f t="shared" si="8"/>
        <v/>
      </c>
      <c r="AQ24" s="19" t="str">
        <f t="shared" si="8"/>
        <v/>
      </c>
      <c r="AR24" s="19" t="str">
        <f t="shared" si="8"/>
        <v/>
      </c>
      <c r="AS24" s="19" t="str">
        <f t="shared" si="8"/>
        <v/>
      </c>
      <c r="AT24" s="19" t="str">
        <f t="shared" si="8"/>
        <v/>
      </c>
      <c r="AU24" s="19" t="str">
        <f t="shared" si="9"/>
        <v/>
      </c>
      <c r="AV24" s="19" t="str">
        <f t="shared" si="9"/>
        <v/>
      </c>
      <c r="AW24" s="19" t="str">
        <f t="shared" si="9"/>
        <v/>
      </c>
      <c r="AX24" s="19" t="str">
        <f t="shared" si="9"/>
        <v/>
      </c>
      <c r="AY24" s="19" t="str">
        <f t="shared" si="9"/>
        <v/>
      </c>
      <c r="AZ24" s="19" t="str">
        <f t="shared" si="9"/>
        <v/>
      </c>
      <c r="BA24" s="19" t="str">
        <f t="shared" si="9"/>
        <v/>
      </c>
      <c r="BB24" s="19" t="str">
        <f t="shared" si="9"/>
        <v/>
      </c>
      <c r="BC24" s="19" t="str">
        <f t="shared" si="9"/>
        <v/>
      </c>
      <c r="BD24" s="19" t="str">
        <f t="shared" si="9"/>
        <v/>
      </c>
    </row>
    <row r="25" spans="1:56" ht="24" customHeight="1">
      <c r="A25" s="11" t="str">
        <f>'01_KeHoach'!A25</f>
        <v>WBS-2.8</v>
      </c>
      <c r="B25" s="7" t="str">
        <f>'01_KeHoach'!C25</f>
        <v>W3</v>
      </c>
      <c r="C25" s="7" t="str">
        <f>'01_KeHoach'!B25</f>
        <v>Target &amp; Compatibility</v>
      </c>
      <c r="D25" s="7" t="str">
        <f>'01_KeHoach'!D25</f>
        <v>Đánh giá blocker và biện pháp xử lý</v>
      </c>
      <c r="E25" s="15">
        <f>'01_KeHoach'!G25</f>
        <v>46274</v>
      </c>
      <c r="F25" s="15">
        <f>'01_KeHoach'!H25</f>
        <v>46275</v>
      </c>
      <c r="G25" s="18" t="str">
        <f t="shared" si="5"/>
        <v/>
      </c>
      <c r="H25" s="18" t="str">
        <f t="shared" si="5"/>
        <v/>
      </c>
      <c r="I25" s="18" t="str">
        <f t="shared" si="5"/>
        <v/>
      </c>
      <c r="J25" s="18" t="str">
        <f t="shared" si="5"/>
        <v/>
      </c>
      <c r="K25" s="18" t="str">
        <f t="shared" si="5"/>
        <v/>
      </c>
      <c r="L25" s="18" t="str">
        <f t="shared" si="5"/>
        <v/>
      </c>
      <c r="M25" s="18" t="str">
        <f t="shared" si="5"/>
        <v/>
      </c>
      <c r="N25" s="18" t="str">
        <f t="shared" si="5"/>
        <v/>
      </c>
      <c r="O25" s="18" t="str">
        <f t="shared" si="5"/>
        <v/>
      </c>
      <c r="P25" s="18" t="str">
        <f t="shared" si="5"/>
        <v/>
      </c>
      <c r="Q25" s="18" t="str">
        <f t="shared" si="6"/>
        <v/>
      </c>
      <c r="R25" s="18" t="str">
        <f t="shared" si="6"/>
        <v/>
      </c>
      <c r="S25" s="18" t="str">
        <f t="shared" si="6"/>
        <v>■</v>
      </c>
      <c r="T25" s="18" t="str">
        <f t="shared" si="6"/>
        <v>■</v>
      </c>
      <c r="U25" s="18" t="str">
        <f t="shared" si="6"/>
        <v/>
      </c>
      <c r="V25" s="18" t="str">
        <f t="shared" si="6"/>
        <v/>
      </c>
      <c r="W25" s="18" t="str">
        <f t="shared" si="6"/>
        <v/>
      </c>
      <c r="X25" s="18" t="str">
        <f t="shared" si="6"/>
        <v/>
      </c>
      <c r="Y25" s="18" t="str">
        <f t="shared" si="6"/>
        <v/>
      </c>
      <c r="Z25" s="18" t="str">
        <f t="shared" si="6"/>
        <v/>
      </c>
      <c r="AA25" s="18" t="str">
        <f t="shared" si="7"/>
        <v/>
      </c>
      <c r="AB25" s="18" t="str">
        <f t="shared" si="7"/>
        <v/>
      </c>
      <c r="AC25" s="18" t="str">
        <f t="shared" si="7"/>
        <v/>
      </c>
      <c r="AD25" s="18" t="str">
        <f t="shared" si="7"/>
        <v/>
      </c>
      <c r="AE25" s="18" t="str">
        <f t="shared" si="7"/>
        <v/>
      </c>
      <c r="AF25" s="18" t="str">
        <f t="shared" si="7"/>
        <v/>
      </c>
      <c r="AG25" s="18" t="str">
        <f t="shared" si="7"/>
        <v/>
      </c>
      <c r="AH25" s="18" t="str">
        <f t="shared" si="7"/>
        <v/>
      </c>
      <c r="AI25" s="18" t="str">
        <f t="shared" si="7"/>
        <v/>
      </c>
      <c r="AJ25" s="18" t="str">
        <f t="shared" si="7"/>
        <v/>
      </c>
      <c r="AK25" s="19" t="str">
        <f t="shared" si="8"/>
        <v/>
      </c>
      <c r="AL25" s="19" t="str">
        <f t="shared" si="8"/>
        <v/>
      </c>
      <c r="AM25" s="19" t="str">
        <f t="shared" si="8"/>
        <v/>
      </c>
      <c r="AN25" s="19" t="str">
        <f t="shared" si="8"/>
        <v/>
      </c>
      <c r="AO25" s="19" t="str">
        <f t="shared" si="8"/>
        <v/>
      </c>
      <c r="AP25" s="19" t="str">
        <f t="shared" si="8"/>
        <v/>
      </c>
      <c r="AQ25" s="19" t="str">
        <f t="shared" si="8"/>
        <v/>
      </c>
      <c r="AR25" s="19" t="str">
        <f t="shared" si="8"/>
        <v/>
      </c>
      <c r="AS25" s="19" t="str">
        <f t="shared" si="8"/>
        <v/>
      </c>
      <c r="AT25" s="19" t="str">
        <f t="shared" si="8"/>
        <v/>
      </c>
      <c r="AU25" s="19" t="str">
        <f t="shared" si="9"/>
        <v/>
      </c>
      <c r="AV25" s="19" t="str">
        <f t="shared" si="9"/>
        <v/>
      </c>
      <c r="AW25" s="19" t="str">
        <f t="shared" si="9"/>
        <v/>
      </c>
      <c r="AX25" s="19" t="str">
        <f t="shared" si="9"/>
        <v/>
      </c>
      <c r="AY25" s="19" t="str">
        <f t="shared" si="9"/>
        <v/>
      </c>
      <c r="AZ25" s="19" t="str">
        <f t="shared" si="9"/>
        <v/>
      </c>
      <c r="BA25" s="19" t="str">
        <f t="shared" si="9"/>
        <v/>
      </c>
      <c r="BB25" s="19" t="str">
        <f t="shared" si="9"/>
        <v/>
      </c>
      <c r="BC25" s="19" t="str">
        <f t="shared" si="9"/>
        <v/>
      </c>
      <c r="BD25" s="19" t="str">
        <f t="shared" si="9"/>
        <v/>
      </c>
    </row>
    <row r="26" spans="1:56" ht="24" customHeight="1">
      <c r="A26" s="11" t="str">
        <f>'01_KeHoach'!A26</f>
        <v>WBS-2.9</v>
      </c>
      <c r="B26" s="7" t="str">
        <f>'01_KeHoach'!C26</f>
        <v>W3</v>
      </c>
      <c r="C26" s="7" t="str">
        <f>'01_KeHoach'!B26</f>
        <v>Target &amp; Compatibility</v>
      </c>
      <c r="D26" s="7" t="str">
        <f>'01_KeHoach'!D26</f>
        <v>Lập Target &amp; Hop Decision Record</v>
      </c>
      <c r="E26" s="15">
        <f>'01_KeHoach'!G26</f>
        <v>46275</v>
      </c>
      <c r="F26" s="15">
        <f>'01_KeHoach'!H26</f>
        <v>46276</v>
      </c>
      <c r="G26" s="18" t="str">
        <f t="shared" ref="G26:P35" si="10">IF(AND(G$5&gt;=$E26,G$5&lt;=$F26),"■","")</f>
        <v/>
      </c>
      <c r="H26" s="18" t="str">
        <f t="shared" si="10"/>
        <v/>
      </c>
      <c r="I26" s="18" t="str">
        <f t="shared" si="10"/>
        <v/>
      </c>
      <c r="J26" s="18" t="str">
        <f t="shared" si="10"/>
        <v/>
      </c>
      <c r="K26" s="18" t="str">
        <f t="shared" si="10"/>
        <v/>
      </c>
      <c r="L26" s="18" t="str">
        <f t="shared" si="10"/>
        <v/>
      </c>
      <c r="M26" s="18" t="str">
        <f t="shared" si="10"/>
        <v/>
      </c>
      <c r="N26" s="18" t="str">
        <f t="shared" si="10"/>
        <v/>
      </c>
      <c r="O26" s="18" t="str">
        <f t="shared" si="10"/>
        <v/>
      </c>
      <c r="P26" s="18" t="str">
        <f t="shared" si="10"/>
        <v/>
      </c>
      <c r="Q26" s="18" t="str">
        <f t="shared" ref="Q26:Z35" si="11">IF(AND(Q$5&gt;=$E26,Q$5&lt;=$F26),"■","")</f>
        <v/>
      </c>
      <c r="R26" s="18" t="str">
        <f t="shared" si="11"/>
        <v/>
      </c>
      <c r="S26" s="18" t="str">
        <f t="shared" si="11"/>
        <v/>
      </c>
      <c r="T26" s="18" t="str">
        <f t="shared" si="11"/>
        <v>■</v>
      </c>
      <c r="U26" s="18" t="str">
        <f t="shared" si="11"/>
        <v>■</v>
      </c>
      <c r="V26" s="18" t="str">
        <f t="shared" si="11"/>
        <v/>
      </c>
      <c r="W26" s="18" t="str">
        <f t="shared" si="11"/>
        <v/>
      </c>
      <c r="X26" s="18" t="str">
        <f t="shared" si="11"/>
        <v/>
      </c>
      <c r="Y26" s="18" t="str">
        <f t="shared" si="11"/>
        <v/>
      </c>
      <c r="Z26" s="18" t="str">
        <f t="shared" si="11"/>
        <v/>
      </c>
      <c r="AA26" s="18" t="str">
        <f t="shared" ref="AA26:AJ35" si="12">IF(AND(AA$5&gt;=$E26,AA$5&lt;=$F26),"■","")</f>
        <v/>
      </c>
      <c r="AB26" s="18" t="str">
        <f t="shared" si="12"/>
        <v/>
      </c>
      <c r="AC26" s="18" t="str">
        <f t="shared" si="12"/>
        <v/>
      </c>
      <c r="AD26" s="18" t="str">
        <f t="shared" si="12"/>
        <v/>
      </c>
      <c r="AE26" s="18" t="str">
        <f t="shared" si="12"/>
        <v/>
      </c>
      <c r="AF26" s="18" t="str">
        <f t="shared" si="12"/>
        <v/>
      </c>
      <c r="AG26" s="18" t="str">
        <f t="shared" si="12"/>
        <v/>
      </c>
      <c r="AH26" s="18" t="str">
        <f t="shared" si="12"/>
        <v/>
      </c>
      <c r="AI26" s="18" t="str">
        <f t="shared" si="12"/>
        <v/>
      </c>
      <c r="AJ26" s="18" t="str">
        <f t="shared" si="12"/>
        <v/>
      </c>
      <c r="AK26" s="19" t="str">
        <f t="shared" ref="AK26:AT35" si="13">IF(AND(AK$5&gt;=$E26,AK$5&lt;=$F26),"■","")</f>
        <v/>
      </c>
      <c r="AL26" s="19" t="str">
        <f t="shared" si="13"/>
        <v/>
      </c>
      <c r="AM26" s="19" t="str">
        <f t="shared" si="13"/>
        <v/>
      </c>
      <c r="AN26" s="19" t="str">
        <f t="shared" si="13"/>
        <v/>
      </c>
      <c r="AO26" s="19" t="str">
        <f t="shared" si="13"/>
        <v/>
      </c>
      <c r="AP26" s="19" t="str">
        <f t="shared" si="13"/>
        <v/>
      </c>
      <c r="AQ26" s="19" t="str">
        <f t="shared" si="13"/>
        <v/>
      </c>
      <c r="AR26" s="19" t="str">
        <f t="shared" si="13"/>
        <v/>
      </c>
      <c r="AS26" s="19" t="str">
        <f t="shared" si="13"/>
        <v/>
      </c>
      <c r="AT26" s="19" t="str">
        <f t="shared" si="13"/>
        <v/>
      </c>
      <c r="AU26" s="19" t="str">
        <f t="shared" ref="AU26:BD35" si="14">IF(AND(AU$5&gt;=$E26,AU$5&lt;=$F26),"■","")</f>
        <v/>
      </c>
      <c r="AV26" s="19" t="str">
        <f t="shared" si="14"/>
        <v/>
      </c>
      <c r="AW26" s="19" t="str">
        <f t="shared" si="14"/>
        <v/>
      </c>
      <c r="AX26" s="19" t="str">
        <f t="shared" si="14"/>
        <v/>
      </c>
      <c r="AY26" s="19" t="str">
        <f t="shared" si="14"/>
        <v/>
      </c>
      <c r="AZ26" s="19" t="str">
        <f t="shared" si="14"/>
        <v/>
      </c>
      <c r="BA26" s="19" t="str">
        <f t="shared" si="14"/>
        <v/>
      </c>
      <c r="BB26" s="19" t="str">
        <f t="shared" si="14"/>
        <v/>
      </c>
      <c r="BC26" s="19" t="str">
        <f t="shared" si="14"/>
        <v/>
      </c>
      <c r="BD26" s="19" t="str">
        <f t="shared" si="14"/>
        <v/>
      </c>
    </row>
    <row r="27" spans="1:56" ht="24" customHeight="1">
      <c r="A27" s="11" t="str">
        <f>'01_KeHoach'!A27</f>
        <v>WBS-2.10</v>
      </c>
      <c r="B27" s="7" t="str">
        <f>'01_KeHoach'!C27</f>
        <v>W3</v>
      </c>
      <c r="C27" s="7" t="str">
        <f>'01_KeHoach'!B27</f>
        <v>Target &amp; Compatibility</v>
      </c>
      <c r="D27" s="7" t="str">
        <f>'01_KeHoach'!D27</f>
        <v>Revalidate release status/support và chốt target/hop</v>
      </c>
      <c r="E27" s="15">
        <f>'01_KeHoach'!G27</f>
        <v>46276</v>
      </c>
      <c r="F27" s="15">
        <f>'01_KeHoach'!H27</f>
        <v>46276</v>
      </c>
      <c r="G27" s="18" t="str">
        <f t="shared" si="10"/>
        <v/>
      </c>
      <c r="H27" s="18" t="str">
        <f t="shared" si="10"/>
        <v/>
      </c>
      <c r="I27" s="18" t="str">
        <f t="shared" si="10"/>
        <v/>
      </c>
      <c r="J27" s="18" t="str">
        <f t="shared" si="10"/>
        <v/>
      </c>
      <c r="K27" s="18" t="str">
        <f t="shared" si="10"/>
        <v/>
      </c>
      <c r="L27" s="18" t="str">
        <f t="shared" si="10"/>
        <v/>
      </c>
      <c r="M27" s="18" t="str">
        <f t="shared" si="10"/>
        <v/>
      </c>
      <c r="N27" s="18" t="str">
        <f t="shared" si="10"/>
        <v/>
      </c>
      <c r="O27" s="18" t="str">
        <f t="shared" si="10"/>
        <v/>
      </c>
      <c r="P27" s="18" t="str">
        <f t="shared" si="10"/>
        <v/>
      </c>
      <c r="Q27" s="18" t="str">
        <f t="shared" si="11"/>
        <v/>
      </c>
      <c r="R27" s="18" t="str">
        <f t="shared" si="11"/>
        <v/>
      </c>
      <c r="S27" s="18" t="str">
        <f t="shared" si="11"/>
        <v/>
      </c>
      <c r="T27" s="18" t="str">
        <f t="shared" si="11"/>
        <v/>
      </c>
      <c r="U27" s="18" t="str">
        <f t="shared" si="11"/>
        <v>■</v>
      </c>
      <c r="V27" s="18" t="str">
        <f t="shared" si="11"/>
        <v/>
      </c>
      <c r="W27" s="18" t="str">
        <f t="shared" si="11"/>
        <v/>
      </c>
      <c r="X27" s="18" t="str">
        <f t="shared" si="11"/>
        <v/>
      </c>
      <c r="Y27" s="18" t="str">
        <f t="shared" si="11"/>
        <v/>
      </c>
      <c r="Z27" s="18" t="str">
        <f t="shared" si="11"/>
        <v/>
      </c>
      <c r="AA27" s="18" t="str">
        <f t="shared" si="12"/>
        <v/>
      </c>
      <c r="AB27" s="18" t="str">
        <f t="shared" si="12"/>
        <v/>
      </c>
      <c r="AC27" s="18" t="str">
        <f t="shared" si="12"/>
        <v/>
      </c>
      <c r="AD27" s="18" t="str">
        <f t="shared" si="12"/>
        <v/>
      </c>
      <c r="AE27" s="18" t="str">
        <f t="shared" si="12"/>
        <v/>
      </c>
      <c r="AF27" s="18" t="str">
        <f t="shared" si="12"/>
        <v/>
      </c>
      <c r="AG27" s="18" t="str">
        <f t="shared" si="12"/>
        <v/>
      </c>
      <c r="AH27" s="18" t="str">
        <f t="shared" si="12"/>
        <v/>
      </c>
      <c r="AI27" s="18" t="str">
        <f t="shared" si="12"/>
        <v/>
      </c>
      <c r="AJ27" s="18" t="str">
        <f t="shared" si="12"/>
        <v/>
      </c>
      <c r="AK27" s="19" t="str">
        <f t="shared" si="13"/>
        <v/>
      </c>
      <c r="AL27" s="19" t="str">
        <f t="shared" si="13"/>
        <v/>
      </c>
      <c r="AM27" s="19" t="str">
        <f t="shared" si="13"/>
        <v/>
      </c>
      <c r="AN27" s="19" t="str">
        <f t="shared" si="13"/>
        <v/>
      </c>
      <c r="AO27" s="19" t="str">
        <f t="shared" si="13"/>
        <v/>
      </c>
      <c r="AP27" s="19" t="str">
        <f t="shared" si="13"/>
        <v/>
      </c>
      <c r="AQ27" s="19" t="str">
        <f t="shared" si="13"/>
        <v/>
      </c>
      <c r="AR27" s="19" t="str">
        <f t="shared" si="13"/>
        <v/>
      </c>
      <c r="AS27" s="19" t="str">
        <f t="shared" si="13"/>
        <v/>
      </c>
      <c r="AT27" s="19" t="str">
        <f t="shared" si="13"/>
        <v/>
      </c>
      <c r="AU27" s="19" t="str">
        <f t="shared" si="14"/>
        <v/>
      </c>
      <c r="AV27" s="19" t="str">
        <f t="shared" si="14"/>
        <v/>
      </c>
      <c r="AW27" s="19" t="str">
        <f t="shared" si="14"/>
        <v/>
      </c>
      <c r="AX27" s="19" t="str">
        <f t="shared" si="14"/>
        <v/>
      </c>
      <c r="AY27" s="19" t="str">
        <f t="shared" si="14"/>
        <v/>
      </c>
      <c r="AZ27" s="19" t="str">
        <f t="shared" si="14"/>
        <v/>
      </c>
      <c r="BA27" s="19" t="str">
        <f t="shared" si="14"/>
        <v/>
      </c>
      <c r="BB27" s="19" t="str">
        <f t="shared" si="14"/>
        <v/>
      </c>
      <c r="BC27" s="19" t="str">
        <f t="shared" si="14"/>
        <v/>
      </c>
      <c r="BD27" s="19" t="str">
        <f t="shared" si="14"/>
        <v/>
      </c>
    </row>
    <row r="28" spans="1:56" ht="24" customHeight="1">
      <c r="A28" s="11" t="str">
        <f>'01_KeHoach'!A28</f>
        <v>WBS-3.1</v>
      </c>
      <c r="B28" s="7" t="str">
        <f>'01_KeHoach'!C28</f>
        <v>W4</v>
      </c>
      <c r="C28" s="7" t="str">
        <f>'01_KeHoach'!B28</f>
        <v>Thiết kế quy trình</v>
      </c>
      <c r="D28" s="7" t="str">
        <f>'01_KeHoach'!D28</f>
        <v>Xây Master Upgrade Strategy</v>
      </c>
      <c r="E28" s="15">
        <f>'01_KeHoach'!G28</f>
        <v>46279</v>
      </c>
      <c r="F28" s="15">
        <f>'01_KeHoach'!H28</f>
        <v>46280</v>
      </c>
      <c r="G28" s="18" t="str">
        <f t="shared" si="10"/>
        <v/>
      </c>
      <c r="H28" s="18" t="str">
        <f t="shared" si="10"/>
        <v/>
      </c>
      <c r="I28" s="18" t="str">
        <f t="shared" si="10"/>
        <v/>
      </c>
      <c r="J28" s="18" t="str">
        <f t="shared" si="10"/>
        <v/>
      </c>
      <c r="K28" s="18" t="str">
        <f t="shared" si="10"/>
        <v/>
      </c>
      <c r="L28" s="18" t="str">
        <f t="shared" si="10"/>
        <v/>
      </c>
      <c r="M28" s="18" t="str">
        <f t="shared" si="10"/>
        <v/>
      </c>
      <c r="N28" s="18" t="str">
        <f t="shared" si="10"/>
        <v/>
      </c>
      <c r="O28" s="18" t="str">
        <f t="shared" si="10"/>
        <v/>
      </c>
      <c r="P28" s="18" t="str">
        <f t="shared" si="10"/>
        <v/>
      </c>
      <c r="Q28" s="18" t="str">
        <f t="shared" si="11"/>
        <v/>
      </c>
      <c r="R28" s="18" t="str">
        <f t="shared" si="11"/>
        <v/>
      </c>
      <c r="S28" s="18" t="str">
        <f t="shared" si="11"/>
        <v/>
      </c>
      <c r="T28" s="18" t="str">
        <f t="shared" si="11"/>
        <v/>
      </c>
      <c r="U28" s="18" t="str">
        <f t="shared" si="11"/>
        <v/>
      </c>
      <c r="V28" s="18" t="str">
        <f t="shared" si="11"/>
        <v>■</v>
      </c>
      <c r="W28" s="18" t="str">
        <f t="shared" si="11"/>
        <v>■</v>
      </c>
      <c r="X28" s="18" t="str">
        <f t="shared" si="11"/>
        <v/>
      </c>
      <c r="Y28" s="18" t="str">
        <f t="shared" si="11"/>
        <v/>
      </c>
      <c r="Z28" s="18" t="str">
        <f t="shared" si="11"/>
        <v/>
      </c>
      <c r="AA28" s="18" t="str">
        <f t="shared" si="12"/>
        <v/>
      </c>
      <c r="AB28" s="18" t="str">
        <f t="shared" si="12"/>
        <v/>
      </c>
      <c r="AC28" s="18" t="str">
        <f t="shared" si="12"/>
        <v/>
      </c>
      <c r="AD28" s="18" t="str">
        <f t="shared" si="12"/>
        <v/>
      </c>
      <c r="AE28" s="18" t="str">
        <f t="shared" si="12"/>
        <v/>
      </c>
      <c r="AF28" s="18" t="str">
        <f t="shared" si="12"/>
        <v/>
      </c>
      <c r="AG28" s="18" t="str">
        <f t="shared" si="12"/>
        <v/>
      </c>
      <c r="AH28" s="18" t="str">
        <f t="shared" si="12"/>
        <v/>
      </c>
      <c r="AI28" s="18" t="str">
        <f t="shared" si="12"/>
        <v/>
      </c>
      <c r="AJ28" s="18" t="str">
        <f t="shared" si="12"/>
        <v/>
      </c>
      <c r="AK28" s="19" t="str">
        <f t="shared" si="13"/>
        <v/>
      </c>
      <c r="AL28" s="19" t="str">
        <f t="shared" si="13"/>
        <v/>
      </c>
      <c r="AM28" s="19" t="str">
        <f t="shared" si="13"/>
        <v/>
      </c>
      <c r="AN28" s="19" t="str">
        <f t="shared" si="13"/>
        <v/>
      </c>
      <c r="AO28" s="19" t="str">
        <f t="shared" si="13"/>
        <v/>
      </c>
      <c r="AP28" s="19" t="str">
        <f t="shared" si="13"/>
        <v/>
      </c>
      <c r="AQ28" s="19" t="str">
        <f t="shared" si="13"/>
        <v/>
      </c>
      <c r="AR28" s="19" t="str">
        <f t="shared" si="13"/>
        <v/>
      </c>
      <c r="AS28" s="19" t="str">
        <f t="shared" si="13"/>
        <v/>
      </c>
      <c r="AT28" s="19" t="str">
        <f t="shared" si="13"/>
        <v/>
      </c>
      <c r="AU28" s="19" t="str">
        <f t="shared" si="14"/>
        <v/>
      </c>
      <c r="AV28" s="19" t="str">
        <f t="shared" si="14"/>
        <v/>
      </c>
      <c r="AW28" s="19" t="str">
        <f t="shared" si="14"/>
        <v/>
      </c>
      <c r="AX28" s="19" t="str">
        <f t="shared" si="14"/>
        <v/>
      </c>
      <c r="AY28" s="19" t="str">
        <f t="shared" si="14"/>
        <v/>
      </c>
      <c r="AZ28" s="19" t="str">
        <f t="shared" si="14"/>
        <v/>
      </c>
      <c r="BA28" s="19" t="str">
        <f t="shared" si="14"/>
        <v/>
      </c>
      <c r="BB28" s="19" t="str">
        <f t="shared" si="14"/>
        <v/>
      </c>
      <c r="BC28" s="19" t="str">
        <f t="shared" si="14"/>
        <v/>
      </c>
      <c r="BD28" s="19" t="str">
        <f t="shared" si="14"/>
        <v/>
      </c>
    </row>
    <row r="29" spans="1:56" ht="24" customHeight="1">
      <c r="A29" s="11" t="str">
        <f>'01_KeHoach'!A29</f>
        <v>WBS-3.2</v>
      </c>
      <c r="B29" s="7" t="str">
        <f>'01_KeHoach'!C29</f>
        <v>W4</v>
      </c>
      <c r="C29" s="7" t="str">
        <f>'01_KeHoach'!B29</f>
        <v>Thiết kế quy trình</v>
      </c>
      <c r="D29" s="7" t="str">
        <f>'01_KeHoach'!D29</f>
        <v>Tạo Master Runbook skeleton</v>
      </c>
      <c r="E29" s="15">
        <f>'01_KeHoach'!G29</f>
        <v>46279</v>
      </c>
      <c r="F29" s="15">
        <f>'01_KeHoach'!H29</f>
        <v>46283</v>
      </c>
      <c r="G29" s="18" t="str">
        <f t="shared" si="10"/>
        <v/>
      </c>
      <c r="H29" s="18" t="str">
        <f t="shared" si="10"/>
        <v/>
      </c>
      <c r="I29" s="18" t="str">
        <f t="shared" si="10"/>
        <v/>
      </c>
      <c r="J29" s="18" t="str">
        <f t="shared" si="10"/>
        <v/>
      </c>
      <c r="K29" s="18" t="str">
        <f t="shared" si="10"/>
        <v/>
      </c>
      <c r="L29" s="18" t="str">
        <f t="shared" si="10"/>
        <v/>
      </c>
      <c r="M29" s="18" t="str">
        <f t="shared" si="10"/>
        <v/>
      </c>
      <c r="N29" s="18" t="str">
        <f t="shared" si="10"/>
        <v/>
      </c>
      <c r="O29" s="18" t="str">
        <f t="shared" si="10"/>
        <v/>
      </c>
      <c r="P29" s="18" t="str">
        <f t="shared" si="10"/>
        <v/>
      </c>
      <c r="Q29" s="18" t="str">
        <f t="shared" si="11"/>
        <v/>
      </c>
      <c r="R29" s="18" t="str">
        <f t="shared" si="11"/>
        <v/>
      </c>
      <c r="S29" s="18" t="str">
        <f t="shared" si="11"/>
        <v/>
      </c>
      <c r="T29" s="18" t="str">
        <f t="shared" si="11"/>
        <v/>
      </c>
      <c r="U29" s="18" t="str">
        <f t="shared" si="11"/>
        <v/>
      </c>
      <c r="V29" s="18" t="str">
        <f t="shared" si="11"/>
        <v>■</v>
      </c>
      <c r="W29" s="18" t="str">
        <f t="shared" si="11"/>
        <v>■</v>
      </c>
      <c r="X29" s="18" t="str">
        <f t="shared" si="11"/>
        <v>■</v>
      </c>
      <c r="Y29" s="18" t="str">
        <f t="shared" si="11"/>
        <v>■</v>
      </c>
      <c r="Z29" s="18" t="str">
        <f t="shared" si="11"/>
        <v>■</v>
      </c>
      <c r="AA29" s="18" t="str">
        <f t="shared" si="12"/>
        <v/>
      </c>
      <c r="AB29" s="18" t="str">
        <f t="shared" si="12"/>
        <v/>
      </c>
      <c r="AC29" s="18" t="str">
        <f t="shared" si="12"/>
        <v/>
      </c>
      <c r="AD29" s="18" t="str">
        <f t="shared" si="12"/>
        <v/>
      </c>
      <c r="AE29" s="18" t="str">
        <f t="shared" si="12"/>
        <v/>
      </c>
      <c r="AF29" s="18" t="str">
        <f t="shared" si="12"/>
        <v/>
      </c>
      <c r="AG29" s="18" t="str">
        <f t="shared" si="12"/>
        <v/>
      </c>
      <c r="AH29" s="18" t="str">
        <f t="shared" si="12"/>
        <v/>
      </c>
      <c r="AI29" s="18" t="str">
        <f t="shared" si="12"/>
        <v/>
      </c>
      <c r="AJ29" s="18" t="str">
        <f t="shared" si="12"/>
        <v/>
      </c>
      <c r="AK29" s="19" t="str">
        <f t="shared" si="13"/>
        <v/>
      </c>
      <c r="AL29" s="19" t="str">
        <f t="shared" si="13"/>
        <v/>
      </c>
      <c r="AM29" s="19" t="str">
        <f t="shared" si="13"/>
        <v/>
      </c>
      <c r="AN29" s="19" t="str">
        <f t="shared" si="13"/>
        <v/>
      </c>
      <c r="AO29" s="19" t="str">
        <f t="shared" si="13"/>
        <v/>
      </c>
      <c r="AP29" s="19" t="str">
        <f t="shared" si="13"/>
        <v/>
      </c>
      <c r="AQ29" s="19" t="str">
        <f t="shared" si="13"/>
        <v/>
      </c>
      <c r="AR29" s="19" t="str">
        <f t="shared" si="13"/>
        <v/>
      </c>
      <c r="AS29" s="19" t="str">
        <f t="shared" si="13"/>
        <v/>
      </c>
      <c r="AT29" s="19" t="str">
        <f t="shared" si="13"/>
        <v/>
      </c>
      <c r="AU29" s="19" t="str">
        <f t="shared" si="14"/>
        <v/>
      </c>
      <c r="AV29" s="19" t="str">
        <f t="shared" si="14"/>
        <v/>
      </c>
      <c r="AW29" s="19" t="str">
        <f t="shared" si="14"/>
        <v/>
      </c>
      <c r="AX29" s="19" t="str">
        <f t="shared" si="14"/>
        <v/>
      </c>
      <c r="AY29" s="19" t="str">
        <f t="shared" si="14"/>
        <v/>
      </c>
      <c r="AZ29" s="19" t="str">
        <f t="shared" si="14"/>
        <v/>
      </c>
      <c r="BA29" s="19" t="str">
        <f t="shared" si="14"/>
        <v/>
      </c>
      <c r="BB29" s="19" t="str">
        <f t="shared" si="14"/>
        <v/>
      </c>
      <c r="BC29" s="19" t="str">
        <f t="shared" si="14"/>
        <v/>
      </c>
      <c r="BD29" s="19" t="str">
        <f t="shared" si="14"/>
        <v/>
      </c>
    </row>
    <row r="30" spans="1:56" ht="24" customHeight="1">
      <c r="A30" s="11" t="str">
        <f>'01_KeHoach'!A30</f>
        <v>WBS-3.3</v>
      </c>
      <c r="B30" s="7" t="str">
        <f>'01_KeHoach'!C30</f>
        <v>W4</v>
      </c>
      <c r="C30" s="7" t="str">
        <f>'01_KeHoach'!B30</f>
        <v>Thiết kế quy trình</v>
      </c>
      <c r="D30" s="7" t="str">
        <f>'01_KeHoach'!D30</f>
        <v>Hoàn thiện As-Is Checklist</v>
      </c>
      <c r="E30" s="15">
        <f>'01_KeHoach'!G30</f>
        <v>46279</v>
      </c>
      <c r="F30" s="15">
        <f>'01_KeHoach'!H30</f>
        <v>46279</v>
      </c>
      <c r="G30" s="18" t="str">
        <f t="shared" si="10"/>
        <v/>
      </c>
      <c r="H30" s="18" t="str">
        <f t="shared" si="10"/>
        <v/>
      </c>
      <c r="I30" s="18" t="str">
        <f t="shared" si="10"/>
        <v/>
      </c>
      <c r="J30" s="18" t="str">
        <f t="shared" si="10"/>
        <v/>
      </c>
      <c r="K30" s="18" t="str">
        <f t="shared" si="10"/>
        <v/>
      </c>
      <c r="L30" s="18" t="str">
        <f t="shared" si="10"/>
        <v/>
      </c>
      <c r="M30" s="18" t="str">
        <f t="shared" si="10"/>
        <v/>
      </c>
      <c r="N30" s="18" t="str">
        <f t="shared" si="10"/>
        <v/>
      </c>
      <c r="O30" s="18" t="str">
        <f t="shared" si="10"/>
        <v/>
      </c>
      <c r="P30" s="18" t="str">
        <f t="shared" si="10"/>
        <v/>
      </c>
      <c r="Q30" s="18" t="str">
        <f t="shared" si="11"/>
        <v/>
      </c>
      <c r="R30" s="18" t="str">
        <f t="shared" si="11"/>
        <v/>
      </c>
      <c r="S30" s="18" t="str">
        <f t="shared" si="11"/>
        <v/>
      </c>
      <c r="T30" s="18" t="str">
        <f t="shared" si="11"/>
        <v/>
      </c>
      <c r="U30" s="18" t="str">
        <f t="shared" si="11"/>
        <v/>
      </c>
      <c r="V30" s="18" t="str">
        <f t="shared" si="11"/>
        <v>■</v>
      </c>
      <c r="W30" s="18" t="str">
        <f t="shared" si="11"/>
        <v/>
      </c>
      <c r="X30" s="18" t="str">
        <f t="shared" si="11"/>
        <v/>
      </c>
      <c r="Y30" s="18" t="str">
        <f t="shared" si="11"/>
        <v/>
      </c>
      <c r="Z30" s="18" t="str">
        <f t="shared" si="11"/>
        <v/>
      </c>
      <c r="AA30" s="18" t="str">
        <f t="shared" si="12"/>
        <v/>
      </c>
      <c r="AB30" s="18" t="str">
        <f t="shared" si="12"/>
        <v/>
      </c>
      <c r="AC30" s="18" t="str">
        <f t="shared" si="12"/>
        <v/>
      </c>
      <c r="AD30" s="18" t="str">
        <f t="shared" si="12"/>
        <v/>
      </c>
      <c r="AE30" s="18" t="str">
        <f t="shared" si="12"/>
        <v/>
      </c>
      <c r="AF30" s="18" t="str">
        <f t="shared" si="12"/>
        <v/>
      </c>
      <c r="AG30" s="18" t="str">
        <f t="shared" si="12"/>
        <v/>
      </c>
      <c r="AH30" s="18" t="str">
        <f t="shared" si="12"/>
        <v/>
      </c>
      <c r="AI30" s="18" t="str">
        <f t="shared" si="12"/>
        <v/>
      </c>
      <c r="AJ30" s="18" t="str">
        <f t="shared" si="12"/>
        <v/>
      </c>
      <c r="AK30" s="19" t="str">
        <f t="shared" si="13"/>
        <v/>
      </c>
      <c r="AL30" s="19" t="str">
        <f t="shared" si="13"/>
        <v/>
      </c>
      <c r="AM30" s="19" t="str">
        <f t="shared" si="13"/>
        <v/>
      </c>
      <c r="AN30" s="19" t="str">
        <f t="shared" si="13"/>
        <v/>
      </c>
      <c r="AO30" s="19" t="str">
        <f t="shared" si="13"/>
        <v/>
      </c>
      <c r="AP30" s="19" t="str">
        <f t="shared" si="13"/>
        <v/>
      </c>
      <c r="AQ30" s="19" t="str">
        <f t="shared" si="13"/>
        <v/>
      </c>
      <c r="AR30" s="19" t="str">
        <f t="shared" si="13"/>
        <v/>
      </c>
      <c r="AS30" s="19" t="str">
        <f t="shared" si="13"/>
        <v/>
      </c>
      <c r="AT30" s="19" t="str">
        <f t="shared" si="13"/>
        <v/>
      </c>
      <c r="AU30" s="19" t="str">
        <f t="shared" si="14"/>
        <v/>
      </c>
      <c r="AV30" s="19" t="str">
        <f t="shared" si="14"/>
        <v/>
      </c>
      <c r="AW30" s="19" t="str">
        <f t="shared" si="14"/>
        <v/>
      </c>
      <c r="AX30" s="19" t="str">
        <f t="shared" si="14"/>
        <v/>
      </c>
      <c r="AY30" s="19" t="str">
        <f t="shared" si="14"/>
        <v/>
      </c>
      <c r="AZ30" s="19" t="str">
        <f t="shared" si="14"/>
        <v/>
      </c>
      <c r="BA30" s="19" t="str">
        <f t="shared" si="14"/>
        <v/>
      </c>
      <c r="BB30" s="19" t="str">
        <f t="shared" si="14"/>
        <v/>
      </c>
      <c r="BC30" s="19" t="str">
        <f t="shared" si="14"/>
        <v/>
      </c>
      <c r="BD30" s="19" t="str">
        <f t="shared" si="14"/>
        <v/>
      </c>
    </row>
    <row r="31" spans="1:56" ht="24" customHeight="1">
      <c r="A31" s="11" t="str">
        <f>'01_KeHoach'!A31</f>
        <v>WBS-3.4</v>
      </c>
      <c r="B31" s="7" t="str">
        <f>'01_KeHoach'!C31</f>
        <v>W4</v>
      </c>
      <c r="C31" s="7" t="str">
        <f>'01_KeHoach'!B31</f>
        <v>Thiết kế quy trình</v>
      </c>
      <c r="D31" s="7" t="str">
        <f>'01_KeHoach'!D31</f>
        <v>Tạo Pre-upgrade Readiness Checklist chung</v>
      </c>
      <c r="E31" s="15">
        <f>'01_KeHoach'!G31</f>
        <v>46279</v>
      </c>
      <c r="F31" s="15">
        <f>'01_KeHoach'!H31</f>
        <v>46280</v>
      </c>
      <c r="G31" s="18" t="str">
        <f t="shared" si="10"/>
        <v/>
      </c>
      <c r="H31" s="18" t="str">
        <f t="shared" si="10"/>
        <v/>
      </c>
      <c r="I31" s="18" t="str">
        <f t="shared" si="10"/>
        <v/>
      </c>
      <c r="J31" s="18" t="str">
        <f t="shared" si="10"/>
        <v/>
      </c>
      <c r="K31" s="18" t="str">
        <f t="shared" si="10"/>
        <v/>
      </c>
      <c r="L31" s="18" t="str">
        <f t="shared" si="10"/>
        <v/>
      </c>
      <c r="M31" s="18" t="str">
        <f t="shared" si="10"/>
        <v/>
      </c>
      <c r="N31" s="18" t="str">
        <f t="shared" si="10"/>
        <v/>
      </c>
      <c r="O31" s="18" t="str">
        <f t="shared" si="10"/>
        <v/>
      </c>
      <c r="P31" s="18" t="str">
        <f t="shared" si="10"/>
        <v/>
      </c>
      <c r="Q31" s="18" t="str">
        <f t="shared" si="11"/>
        <v/>
      </c>
      <c r="R31" s="18" t="str">
        <f t="shared" si="11"/>
        <v/>
      </c>
      <c r="S31" s="18" t="str">
        <f t="shared" si="11"/>
        <v/>
      </c>
      <c r="T31" s="18" t="str">
        <f t="shared" si="11"/>
        <v/>
      </c>
      <c r="U31" s="18" t="str">
        <f t="shared" si="11"/>
        <v/>
      </c>
      <c r="V31" s="18" t="str">
        <f t="shared" si="11"/>
        <v>■</v>
      </c>
      <c r="W31" s="18" t="str">
        <f t="shared" si="11"/>
        <v>■</v>
      </c>
      <c r="X31" s="18" t="str">
        <f t="shared" si="11"/>
        <v/>
      </c>
      <c r="Y31" s="18" t="str">
        <f t="shared" si="11"/>
        <v/>
      </c>
      <c r="Z31" s="18" t="str">
        <f t="shared" si="11"/>
        <v/>
      </c>
      <c r="AA31" s="18" t="str">
        <f t="shared" si="12"/>
        <v/>
      </c>
      <c r="AB31" s="18" t="str">
        <f t="shared" si="12"/>
        <v/>
      </c>
      <c r="AC31" s="18" t="str">
        <f t="shared" si="12"/>
        <v/>
      </c>
      <c r="AD31" s="18" t="str">
        <f t="shared" si="12"/>
        <v/>
      </c>
      <c r="AE31" s="18" t="str">
        <f t="shared" si="12"/>
        <v/>
      </c>
      <c r="AF31" s="18" t="str">
        <f t="shared" si="12"/>
        <v/>
      </c>
      <c r="AG31" s="18" t="str">
        <f t="shared" si="12"/>
        <v/>
      </c>
      <c r="AH31" s="18" t="str">
        <f t="shared" si="12"/>
        <v/>
      </c>
      <c r="AI31" s="18" t="str">
        <f t="shared" si="12"/>
        <v/>
      </c>
      <c r="AJ31" s="18" t="str">
        <f t="shared" si="12"/>
        <v/>
      </c>
      <c r="AK31" s="19" t="str">
        <f t="shared" si="13"/>
        <v/>
      </c>
      <c r="AL31" s="19" t="str">
        <f t="shared" si="13"/>
        <v/>
      </c>
      <c r="AM31" s="19" t="str">
        <f t="shared" si="13"/>
        <v/>
      </c>
      <c r="AN31" s="19" t="str">
        <f t="shared" si="13"/>
        <v/>
      </c>
      <c r="AO31" s="19" t="str">
        <f t="shared" si="13"/>
        <v/>
      </c>
      <c r="AP31" s="19" t="str">
        <f t="shared" si="13"/>
        <v/>
      </c>
      <c r="AQ31" s="19" t="str">
        <f t="shared" si="13"/>
        <v/>
      </c>
      <c r="AR31" s="19" t="str">
        <f t="shared" si="13"/>
        <v/>
      </c>
      <c r="AS31" s="19" t="str">
        <f t="shared" si="13"/>
        <v/>
      </c>
      <c r="AT31" s="19" t="str">
        <f t="shared" si="13"/>
        <v/>
      </c>
      <c r="AU31" s="19" t="str">
        <f t="shared" si="14"/>
        <v/>
      </c>
      <c r="AV31" s="19" t="str">
        <f t="shared" si="14"/>
        <v/>
      </c>
      <c r="AW31" s="19" t="str">
        <f t="shared" si="14"/>
        <v/>
      </c>
      <c r="AX31" s="19" t="str">
        <f t="shared" si="14"/>
        <v/>
      </c>
      <c r="AY31" s="19" t="str">
        <f t="shared" si="14"/>
        <v/>
      </c>
      <c r="AZ31" s="19" t="str">
        <f t="shared" si="14"/>
        <v/>
      </c>
      <c r="BA31" s="19" t="str">
        <f t="shared" si="14"/>
        <v/>
      </c>
      <c r="BB31" s="19" t="str">
        <f t="shared" si="14"/>
        <v/>
      </c>
      <c r="BC31" s="19" t="str">
        <f t="shared" si="14"/>
        <v/>
      </c>
      <c r="BD31" s="19" t="str">
        <f t="shared" si="14"/>
        <v/>
      </c>
    </row>
    <row r="32" spans="1:56" ht="24" customHeight="1">
      <c r="A32" s="11" t="str">
        <f>'01_KeHoach'!A32</f>
        <v>WBS-3.5</v>
      </c>
      <c r="B32" s="7" t="str">
        <f>'01_KeHoach'!C32</f>
        <v>W4</v>
      </c>
      <c r="C32" s="7" t="str">
        <f>'01_KeHoach'!B32</f>
        <v>Thiết kế quy trình</v>
      </c>
      <c r="D32" s="7" t="str">
        <f>'01_KeHoach'!D32</f>
        <v>Tạo Pre-hop Checklist H1/H2/H3</v>
      </c>
      <c r="E32" s="15">
        <f>'01_KeHoach'!G32</f>
        <v>46280</v>
      </c>
      <c r="F32" s="15">
        <f>'01_KeHoach'!H32</f>
        <v>46281</v>
      </c>
      <c r="G32" s="18" t="str">
        <f t="shared" si="10"/>
        <v/>
      </c>
      <c r="H32" s="18" t="str">
        <f t="shared" si="10"/>
        <v/>
      </c>
      <c r="I32" s="18" t="str">
        <f t="shared" si="10"/>
        <v/>
      </c>
      <c r="J32" s="18" t="str">
        <f t="shared" si="10"/>
        <v/>
      </c>
      <c r="K32" s="18" t="str">
        <f t="shared" si="10"/>
        <v/>
      </c>
      <c r="L32" s="18" t="str">
        <f t="shared" si="10"/>
        <v/>
      </c>
      <c r="M32" s="18" t="str">
        <f t="shared" si="10"/>
        <v/>
      </c>
      <c r="N32" s="18" t="str">
        <f t="shared" si="10"/>
        <v/>
      </c>
      <c r="O32" s="18" t="str">
        <f t="shared" si="10"/>
        <v/>
      </c>
      <c r="P32" s="18" t="str">
        <f t="shared" si="10"/>
        <v/>
      </c>
      <c r="Q32" s="18" t="str">
        <f t="shared" si="11"/>
        <v/>
      </c>
      <c r="R32" s="18" t="str">
        <f t="shared" si="11"/>
        <v/>
      </c>
      <c r="S32" s="18" t="str">
        <f t="shared" si="11"/>
        <v/>
      </c>
      <c r="T32" s="18" t="str">
        <f t="shared" si="11"/>
        <v/>
      </c>
      <c r="U32" s="18" t="str">
        <f t="shared" si="11"/>
        <v/>
      </c>
      <c r="V32" s="18" t="str">
        <f t="shared" si="11"/>
        <v/>
      </c>
      <c r="W32" s="18" t="str">
        <f t="shared" si="11"/>
        <v>■</v>
      </c>
      <c r="X32" s="18" t="str">
        <f t="shared" si="11"/>
        <v>■</v>
      </c>
      <c r="Y32" s="18" t="str">
        <f t="shared" si="11"/>
        <v/>
      </c>
      <c r="Z32" s="18" t="str">
        <f t="shared" si="11"/>
        <v/>
      </c>
      <c r="AA32" s="18" t="str">
        <f t="shared" si="12"/>
        <v/>
      </c>
      <c r="AB32" s="18" t="str">
        <f t="shared" si="12"/>
        <v/>
      </c>
      <c r="AC32" s="18" t="str">
        <f t="shared" si="12"/>
        <v/>
      </c>
      <c r="AD32" s="18" t="str">
        <f t="shared" si="12"/>
        <v/>
      </c>
      <c r="AE32" s="18" t="str">
        <f t="shared" si="12"/>
        <v/>
      </c>
      <c r="AF32" s="18" t="str">
        <f t="shared" si="12"/>
        <v/>
      </c>
      <c r="AG32" s="18" t="str">
        <f t="shared" si="12"/>
        <v/>
      </c>
      <c r="AH32" s="18" t="str">
        <f t="shared" si="12"/>
        <v/>
      </c>
      <c r="AI32" s="18" t="str">
        <f t="shared" si="12"/>
        <v/>
      </c>
      <c r="AJ32" s="18" t="str">
        <f t="shared" si="12"/>
        <v/>
      </c>
      <c r="AK32" s="19" t="str">
        <f t="shared" si="13"/>
        <v/>
      </c>
      <c r="AL32" s="19" t="str">
        <f t="shared" si="13"/>
        <v/>
      </c>
      <c r="AM32" s="19" t="str">
        <f t="shared" si="13"/>
        <v/>
      </c>
      <c r="AN32" s="19" t="str">
        <f t="shared" si="13"/>
        <v/>
      </c>
      <c r="AO32" s="19" t="str">
        <f t="shared" si="13"/>
        <v/>
      </c>
      <c r="AP32" s="19" t="str">
        <f t="shared" si="13"/>
        <v/>
      </c>
      <c r="AQ32" s="19" t="str">
        <f t="shared" si="13"/>
        <v/>
      </c>
      <c r="AR32" s="19" t="str">
        <f t="shared" si="13"/>
        <v/>
      </c>
      <c r="AS32" s="19" t="str">
        <f t="shared" si="13"/>
        <v/>
      </c>
      <c r="AT32" s="19" t="str">
        <f t="shared" si="13"/>
        <v/>
      </c>
      <c r="AU32" s="19" t="str">
        <f t="shared" si="14"/>
        <v/>
      </c>
      <c r="AV32" s="19" t="str">
        <f t="shared" si="14"/>
        <v/>
      </c>
      <c r="AW32" s="19" t="str">
        <f t="shared" si="14"/>
        <v/>
      </c>
      <c r="AX32" s="19" t="str">
        <f t="shared" si="14"/>
        <v/>
      </c>
      <c r="AY32" s="19" t="str">
        <f t="shared" si="14"/>
        <v/>
      </c>
      <c r="AZ32" s="19" t="str">
        <f t="shared" si="14"/>
        <v/>
      </c>
      <c r="BA32" s="19" t="str">
        <f t="shared" si="14"/>
        <v/>
      </c>
      <c r="BB32" s="19" t="str">
        <f t="shared" si="14"/>
        <v/>
      </c>
      <c r="BC32" s="19" t="str">
        <f t="shared" si="14"/>
        <v/>
      </c>
      <c r="BD32" s="19" t="str">
        <f t="shared" si="14"/>
        <v/>
      </c>
    </row>
    <row r="33" spans="1:56" ht="24" customHeight="1">
      <c r="A33" s="11" t="str">
        <f>'01_KeHoach'!A33</f>
        <v>WBS-3.6</v>
      </c>
      <c r="B33" s="7" t="str">
        <f>'01_KeHoach'!C33</f>
        <v>W4</v>
      </c>
      <c r="C33" s="7" t="str">
        <f>'01_KeHoach'!B33</f>
        <v>Thiết kế quy trình</v>
      </c>
      <c r="D33" s="7" t="str">
        <f>'01_KeHoach'!D33</f>
        <v>Tạo Rolling Monitoring Checklist chung</v>
      </c>
      <c r="E33" s="15">
        <f>'01_KeHoach'!G33</f>
        <v>46280</v>
      </c>
      <c r="F33" s="15">
        <f>'01_KeHoach'!H33</f>
        <v>46281</v>
      </c>
      <c r="G33" s="18" t="str">
        <f t="shared" si="10"/>
        <v/>
      </c>
      <c r="H33" s="18" t="str">
        <f t="shared" si="10"/>
        <v/>
      </c>
      <c r="I33" s="18" t="str">
        <f t="shared" si="10"/>
        <v/>
      </c>
      <c r="J33" s="18" t="str">
        <f t="shared" si="10"/>
        <v/>
      </c>
      <c r="K33" s="18" t="str">
        <f t="shared" si="10"/>
        <v/>
      </c>
      <c r="L33" s="18" t="str">
        <f t="shared" si="10"/>
        <v/>
      </c>
      <c r="M33" s="18" t="str">
        <f t="shared" si="10"/>
        <v/>
      </c>
      <c r="N33" s="18" t="str">
        <f t="shared" si="10"/>
        <v/>
      </c>
      <c r="O33" s="18" t="str">
        <f t="shared" si="10"/>
        <v/>
      </c>
      <c r="P33" s="18" t="str">
        <f t="shared" si="10"/>
        <v/>
      </c>
      <c r="Q33" s="18" t="str">
        <f t="shared" si="11"/>
        <v/>
      </c>
      <c r="R33" s="18" t="str">
        <f t="shared" si="11"/>
        <v/>
      </c>
      <c r="S33" s="18" t="str">
        <f t="shared" si="11"/>
        <v/>
      </c>
      <c r="T33" s="18" t="str">
        <f t="shared" si="11"/>
        <v/>
      </c>
      <c r="U33" s="18" t="str">
        <f t="shared" si="11"/>
        <v/>
      </c>
      <c r="V33" s="18" t="str">
        <f t="shared" si="11"/>
        <v/>
      </c>
      <c r="W33" s="18" t="str">
        <f t="shared" si="11"/>
        <v>■</v>
      </c>
      <c r="X33" s="18" t="str">
        <f t="shared" si="11"/>
        <v>■</v>
      </c>
      <c r="Y33" s="18" t="str">
        <f t="shared" si="11"/>
        <v/>
      </c>
      <c r="Z33" s="18" t="str">
        <f t="shared" si="11"/>
        <v/>
      </c>
      <c r="AA33" s="18" t="str">
        <f t="shared" si="12"/>
        <v/>
      </c>
      <c r="AB33" s="18" t="str">
        <f t="shared" si="12"/>
        <v/>
      </c>
      <c r="AC33" s="18" t="str">
        <f t="shared" si="12"/>
        <v/>
      </c>
      <c r="AD33" s="18" t="str">
        <f t="shared" si="12"/>
        <v/>
      </c>
      <c r="AE33" s="18" t="str">
        <f t="shared" si="12"/>
        <v/>
      </c>
      <c r="AF33" s="18" t="str">
        <f t="shared" si="12"/>
        <v/>
      </c>
      <c r="AG33" s="18" t="str">
        <f t="shared" si="12"/>
        <v/>
      </c>
      <c r="AH33" s="18" t="str">
        <f t="shared" si="12"/>
        <v/>
      </c>
      <c r="AI33" s="18" t="str">
        <f t="shared" si="12"/>
        <v/>
      </c>
      <c r="AJ33" s="18" t="str">
        <f t="shared" si="12"/>
        <v/>
      </c>
      <c r="AK33" s="19" t="str">
        <f t="shared" si="13"/>
        <v/>
      </c>
      <c r="AL33" s="19" t="str">
        <f t="shared" si="13"/>
        <v/>
      </c>
      <c r="AM33" s="19" t="str">
        <f t="shared" si="13"/>
        <v/>
      </c>
      <c r="AN33" s="19" t="str">
        <f t="shared" si="13"/>
        <v/>
      </c>
      <c r="AO33" s="19" t="str">
        <f t="shared" si="13"/>
        <v/>
      </c>
      <c r="AP33" s="19" t="str">
        <f t="shared" si="13"/>
        <v/>
      </c>
      <c r="AQ33" s="19" t="str">
        <f t="shared" si="13"/>
        <v/>
      </c>
      <c r="AR33" s="19" t="str">
        <f t="shared" si="13"/>
        <v/>
      </c>
      <c r="AS33" s="19" t="str">
        <f t="shared" si="13"/>
        <v/>
      </c>
      <c r="AT33" s="19" t="str">
        <f t="shared" si="13"/>
        <v/>
      </c>
      <c r="AU33" s="19" t="str">
        <f t="shared" si="14"/>
        <v/>
      </c>
      <c r="AV33" s="19" t="str">
        <f t="shared" si="14"/>
        <v/>
      </c>
      <c r="AW33" s="19" t="str">
        <f t="shared" si="14"/>
        <v/>
      </c>
      <c r="AX33" s="19" t="str">
        <f t="shared" si="14"/>
        <v/>
      </c>
      <c r="AY33" s="19" t="str">
        <f t="shared" si="14"/>
        <v/>
      </c>
      <c r="AZ33" s="19" t="str">
        <f t="shared" si="14"/>
        <v/>
      </c>
      <c r="BA33" s="19" t="str">
        <f t="shared" si="14"/>
        <v/>
      </c>
      <c r="BB33" s="19" t="str">
        <f t="shared" si="14"/>
        <v/>
      </c>
      <c r="BC33" s="19" t="str">
        <f t="shared" si="14"/>
        <v/>
      </c>
      <c r="BD33" s="19" t="str">
        <f t="shared" si="14"/>
        <v/>
      </c>
    </row>
    <row r="34" spans="1:56" ht="24" customHeight="1">
      <c r="A34" s="11" t="str">
        <f>'01_KeHoach'!A34</f>
        <v>WBS-3.7</v>
      </c>
      <c r="B34" s="7" t="str">
        <f>'01_KeHoach'!C34</f>
        <v>W4</v>
      </c>
      <c r="C34" s="7" t="str">
        <f>'01_KeHoach'!B34</f>
        <v>Thiết kế quy trình</v>
      </c>
      <c r="D34" s="7" t="str">
        <f>'01_KeHoach'!D34</f>
        <v>Tạo Monitoring Checklist H1/H2/H3</v>
      </c>
      <c r="E34" s="15">
        <f>'01_KeHoach'!G34</f>
        <v>46281</v>
      </c>
      <c r="F34" s="15">
        <f>'01_KeHoach'!H34</f>
        <v>46282</v>
      </c>
      <c r="G34" s="18" t="str">
        <f t="shared" si="10"/>
        <v/>
      </c>
      <c r="H34" s="18" t="str">
        <f t="shared" si="10"/>
        <v/>
      </c>
      <c r="I34" s="18" t="str">
        <f t="shared" si="10"/>
        <v/>
      </c>
      <c r="J34" s="18" t="str">
        <f t="shared" si="10"/>
        <v/>
      </c>
      <c r="K34" s="18" t="str">
        <f t="shared" si="10"/>
        <v/>
      </c>
      <c r="L34" s="18" t="str">
        <f t="shared" si="10"/>
        <v/>
      </c>
      <c r="M34" s="18" t="str">
        <f t="shared" si="10"/>
        <v/>
      </c>
      <c r="N34" s="18" t="str">
        <f t="shared" si="10"/>
        <v/>
      </c>
      <c r="O34" s="18" t="str">
        <f t="shared" si="10"/>
        <v/>
      </c>
      <c r="P34" s="18" t="str">
        <f t="shared" si="10"/>
        <v/>
      </c>
      <c r="Q34" s="18" t="str">
        <f t="shared" si="11"/>
        <v/>
      </c>
      <c r="R34" s="18" t="str">
        <f t="shared" si="11"/>
        <v/>
      </c>
      <c r="S34" s="18" t="str">
        <f t="shared" si="11"/>
        <v/>
      </c>
      <c r="T34" s="18" t="str">
        <f t="shared" si="11"/>
        <v/>
      </c>
      <c r="U34" s="18" t="str">
        <f t="shared" si="11"/>
        <v/>
      </c>
      <c r="V34" s="18" t="str">
        <f t="shared" si="11"/>
        <v/>
      </c>
      <c r="W34" s="18" t="str">
        <f t="shared" si="11"/>
        <v/>
      </c>
      <c r="X34" s="18" t="str">
        <f t="shared" si="11"/>
        <v>■</v>
      </c>
      <c r="Y34" s="18" t="str">
        <f t="shared" si="11"/>
        <v>■</v>
      </c>
      <c r="Z34" s="18" t="str">
        <f t="shared" si="11"/>
        <v/>
      </c>
      <c r="AA34" s="18" t="str">
        <f t="shared" si="12"/>
        <v/>
      </c>
      <c r="AB34" s="18" t="str">
        <f t="shared" si="12"/>
        <v/>
      </c>
      <c r="AC34" s="18" t="str">
        <f t="shared" si="12"/>
        <v/>
      </c>
      <c r="AD34" s="18" t="str">
        <f t="shared" si="12"/>
        <v/>
      </c>
      <c r="AE34" s="18" t="str">
        <f t="shared" si="12"/>
        <v/>
      </c>
      <c r="AF34" s="18" t="str">
        <f t="shared" si="12"/>
        <v/>
      </c>
      <c r="AG34" s="18" t="str">
        <f t="shared" si="12"/>
        <v/>
      </c>
      <c r="AH34" s="18" t="str">
        <f t="shared" si="12"/>
        <v/>
      </c>
      <c r="AI34" s="18" t="str">
        <f t="shared" si="12"/>
        <v/>
      </c>
      <c r="AJ34" s="18" t="str">
        <f t="shared" si="12"/>
        <v/>
      </c>
      <c r="AK34" s="19" t="str">
        <f t="shared" si="13"/>
        <v/>
      </c>
      <c r="AL34" s="19" t="str">
        <f t="shared" si="13"/>
        <v/>
      </c>
      <c r="AM34" s="19" t="str">
        <f t="shared" si="13"/>
        <v/>
      </c>
      <c r="AN34" s="19" t="str">
        <f t="shared" si="13"/>
        <v/>
      </c>
      <c r="AO34" s="19" t="str">
        <f t="shared" si="13"/>
        <v/>
      </c>
      <c r="AP34" s="19" t="str">
        <f t="shared" si="13"/>
        <v/>
      </c>
      <c r="AQ34" s="19" t="str">
        <f t="shared" si="13"/>
        <v/>
      </c>
      <c r="AR34" s="19" t="str">
        <f t="shared" si="13"/>
        <v/>
      </c>
      <c r="AS34" s="19" t="str">
        <f t="shared" si="13"/>
        <v/>
      </c>
      <c r="AT34" s="19" t="str">
        <f t="shared" si="13"/>
        <v/>
      </c>
      <c r="AU34" s="19" t="str">
        <f t="shared" si="14"/>
        <v/>
      </c>
      <c r="AV34" s="19" t="str">
        <f t="shared" si="14"/>
        <v/>
      </c>
      <c r="AW34" s="19" t="str">
        <f t="shared" si="14"/>
        <v/>
      </c>
      <c r="AX34" s="19" t="str">
        <f t="shared" si="14"/>
        <v/>
      </c>
      <c r="AY34" s="19" t="str">
        <f t="shared" si="14"/>
        <v/>
      </c>
      <c r="AZ34" s="19" t="str">
        <f t="shared" si="14"/>
        <v/>
      </c>
      <c r="BA34" s="19" t="str">
        <f t="shared" si="14"/>
        <v/>
      </c>
      <c r="BB34" s="19" t="str">
        <f t="shared" si="14"/>
        <v/>
      </c>
      <c r="BC34" s="19" t="str">
        <f t="shared" si="14"/>
        <v/>
      </c>
      <c r="BD34" s="19" t="str">
        <f t="shared" si="14"/>
        <v/>
      </c>
    </row>
    <row r="35" spans="1:56" ht="24" customHeight="1">
      <c r="A35" s="11" t="str">
        <f>'01_KeHoach'!A35</f>
        <v>WBS-3.8</v>
      </c>
      <c r="B35" s="7" t="str">
        <f>'01_KeHoach'!C35</f>
        <v>W4</v>
      </c>
      <c r="C35" s="7" t="str">
        <f>'01_KeHoach'!B35</f>
        <v>Thiết kế quy trình</v>
      </c>
      <c r="D35" s="7" t="str">
        <f>'01_KeHoach'!D35</f>
        <v>Tạo Exit Gate &amp; Soak Checklist H1/H2/H3</v>
      </c>
      <c r="E35" s="15">
        <f>'01_KeHoach'!G35</f>
        <v>46281</v>
      </c>
      <c r="F35" s="15">
        <f>'01_KeHoach'!H35</f>
        <v>46282</v>
      </c>
      <c r="G35" s="18" t="str">
        <f t="shared" si="10"/>
        <v/>
      </c>
      <c r="H35" s="18" t="str">
        <f t="shared" si="10"/>
        <v/>
      </c>
      <c r="I35" s="18" t="str">
        <f t="shared" si="10"/>
        <v/>
      </c>
      <c r="J35" s="18" t="str">
        <f t="shared" si="10"/>
        <v/>
      </c>
      <c r="K35" s="18" t="str">
        <f t="shared" si="10"/>
        <v/>
      </c>
      <c r="L35" s="18" t="str">
        <f t="shared" si="10"/>
        <v/>
      </c>
      <c r="M35" s="18" t="str">
        <f t="shared" si="10"/>
        <v/>
      </c>
      <c r="N35" s="18" t="str">
        <f t="shared" si="10"/>
        <v/>
      </c>
      <c r="O35" s="18" t="str">
        <f t="shared" si="10"/>
        <v/>
      </c>
      <c r="P35" s="18" t="str">
        <f t="shared" si="10"/>
        <v/>
      </c>
      <c r="Q35" s="18" t="str">
        <f t="shared" si="11"/>
        <v/>
      </c>
      <c r="R35" s="18" t="str">
        <f t="shared" si="11"/>
        <v/>
      </c>
      <c r="S35" s="18" t="str">
        <f t="shared" si="11"/>
        <v/>
      </c>
      <c r="T35" s="18" t="str">
        <f t="shared" si="11"/>
        <v/>
      </c>
      <c r="U35" s="18" t="str">
        <f t="shared" si="11"/>
        <v/>
      </c>
      <c r="V35" s="18" t="str">
        <f t="shared" si="11"/>
        <v/>
      </c>
      <c r="W35" s="18" t="str">
        <f t="shared" si="11"/>
        <v/>
      </c>
      <c r="X35" s="18" t="str">
        <f t="shared" si="11"/>
        <v>■</v>
      </c>
      <c r="Y35" s="18" t="str">
        <f t="shared" si="11"/>
        <v>■</v>
      </c>
      <c r="Z35" s="18" t="str">
        <f t="shared" si="11"/>
        <v/>
      </c>
      <c r="AA35" s="18" t="str">
        <f t="shared" si="12"/>
        <v/>
      </c>
      <c r="AB35" s="18" t="str">
        <f t="shared" si="12"/>
        <v/>
      </c>
      <c r="AC35" s="18" t="str">
        <f t="shared" si="12"/>
        <v/>
      </c>
      <c r="AD35" s="18" t="str">
        <f t="shared" si="12"/>
        <v/>
      </c>
      <c r="AE35" s="18" t="str">
        <f t="shared" si="12"/>
        <v/>
      </c>
      <c r="AF35" s="18" t="str">
        <f t="shared" si="12"/>
        <v/>
      </c>
      <c r="AG35" s="18" t="str">
        <f t="shared" si="12"/>
        <v/>
      </c>
      <c r="AH35" s="18" t="str">
        <f t="shared" si="12"/>
        <v/>
      </c>
      <c r="AI35" s="18" t="str">
        <f t="shared" si="12"/>
        <v/>
      </c>
      <c r="AJ35" s="18" t="str">
        <f t="shared" si="12"/>
        <v/>
      </c>
      <c r="AK35" s="19" t="str">
        <f t="shared" si="13"/>
        <v/>
      </c>
      <c r="AL35" s="19" t="str">
        <f t="shared" si="13"/>
        <v/>
      </c>
      <c r="AM35" s="19" t="str">
        <f t="shared" si="13"/>
        <v/>
      </c>
      <c r="AN35" s="19" t="str">
        <f t="shared" si="13"/>
        <v/>
      </c>
      <c r="AO35" s="19" t="str">
        <f t="shared" si="13"/>
        <v/>
      </c>
      <c r="AP35" s="19" t="str">
        <f t="shared" si="13"/>
        <v/>
      </c>
      <c r="AQ35" s="19" t="str">
        <f t="shared" si="13"/>
        <v/>
      </c>
      <c r="AR35" s="19" t="str">
        <f t="shared" si="13"/>
        <v/>
      </c>
      <c r="AS35" s="19" t="str">
        <f t="shared" si="13"/>
        <v/>
      </c>
      <c r="AT35" s="19" t="str">
        <f t="shared" si="13"/>
        <v/>
      </c>
      <c r="AU35" s="19" t="str">
        <f t="shared" si="14"/>
        <v/>
      </c>
      <c r="AV35" s="19" t="str">
        <f t="shared" si="14"/>
        <v/>
      </c>
      <c r="AW35" s="19" t="str">
        <f t="shared" si="14"/>
        <v/>
      </c>
      <c r="AX35" s="19" t="str">
        <f t="shared" si="14"/>
        <v/>
      </c>
      <c r="AY35" s="19" t="str">
        <f t="shared" si="14"/>
        <v/>
      </c>
      <c r="AZ35" s="19" t="str">
        <f t="shared" si="14"/>
        <v/>
      </c>
      <c r="BA35" s="19" t="str">
        <f t="shared" si="14"/>
        <v/>
      </c>
      <c r="BB35" s="19" t="str">
        <f t="shared" si="14"/>
        <v/>
      </c>
      <c r="BC35" s="19" t="str">
        <f t="shared" si="14"/>
        <v/>
      </c>
      <c r="BD35" s="19" t="str">
        <f t="shared" si="14"/>
        <v/>
      </c>
    </row>
    <row r="36" spans="1:56" ht="24" customHeight="1">
      <c r="A36" s="11" t="str">
        <f>'01_KeHoach'!A36</f>
        <v>WBS-3.9</v>
      </c>
      <c r="B36" s="7" t="str">
        <f>'01_KeHoach'!C36</f>
        <v>W4</v>
      </c>
      <c r="C36" s="7" t="str">
        <f>'01_KeHoach'!B36</f>
        <v>Thiết kế quy trình</v>
      </c>
      <c r="D36" s="7" t="str">
        <f>'01_KeHoach'!D36</f>
        <v>Tạo GO/NO-GO Decision Checklist</v>
      </c>
      <c r="E36" s="15">
        <f>'01_KeHoach'!G36</f>
        <v>46282</v>
      </c>
      <c r="F36" s="15">
        <f>'01_KeHoach'!H36</f>
        <v>46282</v>
      </c>
      <c r="G36" s="18" t="str">
        <f t="shared" ref="G36:P45" si="15">IF(AND(G$5&gt;=$E36,G$5&lt;=$F36),"■","")</f>
        <v/>
      </c>
      <c r="H36" s="18" t="str">
        <f t="shared" si="15"/>
        <v/>
      </c>
      <c r="I36" s="18" t="str">
        <f t="shared" si="15"/>
        <v/>
      </c>
      <c r="J36" s="18" t="str">
        <f t="shared" si="15"/>
        <v/>
      </c>
      <c r="K36" s="18" t="str">
        <f t="shared" si="15"/>
        <v/>
      </c>
      <c r="L36" s="18" t="str">
        <f t="shared" si="15"/>
        <v/>
      </c>
      <c r="M36" s="18" t="str">
        <f t="shared" si="15"/>
        <v/>
      </c>
      <c r="N36" s="18" t="str">
        <f t="shared" si="15"/>
        <v/>
      </c>
      <c r="O36" s="18" t="str">
        <f t="shared" si="15"/>
        <v/>
      </c>
      <c r="P36" s="18" t="str">
        <f t="shared" si="15"/>
        <v/>
      </c>
      <c r="Q36" s="18" t="str">
        <f t="shared" ref="Q36:Z45" si="16">IF(AND(Q$5&gt;=$E36,Q$5&lt;=$F36),"■","")</f>
        <v/>
      </c>
      <c r="R36" s="18" t="str">
        <f t="shared" si="16"/>
        <v/>
      </c>
      <c r="S36" s="18" t="str">
        <f t="shared" si="16"/>
        <v/>
      </c>
      <c r="T36" s="18" t="str">
        <f t="shared" si="16"/>
        <v/>
      </c>
      <c r="U36" s="18" t="str">
        <f t="shared" si="16"/>
        <v/>
      </c>
      <c r="V36" s="18" t="str">
        <f t="shared" si="16"/>
        <v/>
      </c>
      <c r="W36" s="18" t="str">
        <f t="shared" si="16"/>
        <v/>
      </c>
      <c r="X36" s="18" t="str">
        <f t="shared" si="16"/>
        <v/>
      </c>
      <c r="Y36" s="18" t="str">
        <f t="shared" si="16"/>
        <v>■</v>
      </c>
      <c r="Z36" s="18" t="str">
        <f t="shared" si="16"/>
        <v/>
      </c>
      <c r="AA36" s="18" t="str">
        <f t="shared" ref="AA36:AJ45" si="17">IF(AND(AA$5&gt;=$E36,AA$5&lt;=$F36),"■","")</f>
        <v/>
      </c>
      <c r="AB36" s="18" t="str">
        <f t="shared" si="17"/>
        <v/>
      </c>
      <c r="AC36" s="18" t="str">
        <f t="shared" si="17"/>
        <v/>
      </c>
      <c r="AD36" s="18" t="str">
        <f t="shared" si="17"/>
        <v/>
      </c>
      <c r="AE36" s="18" t="str">
        <f t="shared" si="17"/>
        <v/>
      </c>
      <c r="AF36" s="18" t="str">
        <f t="shared" si="17"/>
        <v/>
      </c>
      <c r="AG36" s="18" t="str">
        <f t="shared" si="17"/>
        <v/>
      </c>
      <c r="AH36" s="18" t="str">
        <f t="shared" si="17"/>
        <v/>
      </c>
      <c r="AI36" s="18" t="str">
        <f t="shared" si="17"/>
        <v/>
      </c>
      <c r="AJ36" s="18" t="str">
        <f t="shared" si="17"/>
        <v/>
      </c>
      <c r="AK36" s="19" t="str">
        <f t="shared" ref="AK36:AT45" si="18">IF(AND(AK$5&gt;=$E36,AK$5&lt;=$F36),"■","")</f>
        <v/>
      </c>
      <c r="AL36" s="19" t="str">
        <f t="shared" si="18"/>
        <v/>
      </c>
      <c r="AM36" s="19" t="str">
        <f t="shared" si="18"/>
        <v/>
      </c>
      <c r="AN36" s="19" t="str">
        <f t="shared" si="18"/>
        <v/>
      </c>
      <c r="AO36" s="19" t="str">
        <f t="shared" si="18"/>
        <v/>
      </c>
      <c r="AP36" s="19" t="str">
        <f t="shared" si="18"/>
        <v/>
      </c>
      <c r="AQ36" s="19" t="str">
        <f t="shared" si="18"/>
        <v/>
      </c>
      <c r="AR36" s="19" t="str">
        <f t="shared" si="18"/>
        <v/>
      </c>
      <c r="AS36" s="19" t="str">
        <f t="shared" si="18"/>
        <v/>
      </c>
      <c r="AT36" s="19" t="str">
        <f t="shared" si="18"/>
        <v/>
      </c>
      <c r="AU36" s="19" t="str">
        <f t="shared" ref="AU36:BD45" si="19">IF(AND(AU$5&gt;=$E36,AU$5&lt;=$F36),"■","")</f>
        <v/>
      </c>
      <c r="AV36" s="19" t="str">
        <f t="shared" si="19"/>
        <v/>
      </c>
      <c r="AW36" s="19" t="str">
        <f t="shared" si="19"/>
        <v/>
      </c>
      <c r="AX36" s="19" t="str">
        <f t="shared" si="19"/>
        <v/>
      </c>
      <c r="AY36" s="19" t="str">
        <f t="shared" si="19"/>
        <v/>
      </c>
      <c r="AZ36" s="19" t="str">
        <f t="shared" si="19"/>
        <v/>
      </c>
      <c r="BA36" s="19" t="str">
        <f t="shared" si="19"/>
        <v/>
      </c>
      <c r="BB36" s="19" t="str">
        <f t="shared" si="19"/>
        <v/>
      </c>
      <c r="BC36" s="19" t="str">
        <f t="shared" si="19"/>
        <v/>
      </c>
      <c r="BD36" s="19" t="str">
        <f t="shared" si="19"/>
        <v/>
      </c>
    </row>
    <row r="37" spans="1:56" ht="24" customHeight="1">
      <c r="A37" s="11" t="str">
        <f>'01_KeHoach'!A37</f>
        <v>WBS-3.10</v>
      </c>
      <c r="B37" s="7" t="str">
        <f>'01_KeHoach'!C37</f>
        <v>W4</v>
      </c>
      <c r="C37" s="7" t="str">
        <f>'01_KeHoach'!B37</f>
        <v>Thiết kế quy trình</v>
      </c>
      <c r="D37" s="7" t="str">
        <f>'01_KeHoach'!D37</f>
        <v>Xây Backup &amp; Recovery Plan</v>
      </c>
      <c r="E37" s="15">
        <f>'01_KeHoach'!G37</f>
        <v>46279</v>
      </c>
      <c r="F37" s="15">
        <f>'01_KeHoach'!H37</f>
        <v>46281</v>
      </c>
      <c r="G37" s="18" t="str">
        <f t="shared" si="15"/>
        <v/>
      </c>
      <c r="H37" s="18" t="str">
        <f t="shared" si="15"/>
        <v/>
      </c>
      <c r="I37" s="18" t="str">
        <f t="shared" si="15"/>
        <v/>
      </c>
      <c r="J37" s="18" t="str">
        <f t="shared" si="15"/>
        <v/>
      </c>
      <c r="K37" s="18" t="str">
        <f t="shared" si="15"/>
        <v/>
      </c>
      <c r="L37" s="18" t="str">
        <f t="shared" si="15"/>
        <v/>
      </c>
      <c r="M37" s="18" t="str">
        <f t="shared" si="15"/>
        <v/>
      </c>
      <c r="N37" s="18" t="str">
        <f t="shared" si="15"/>
        <v/>
      </c>
      <c r="O37" s="18" t="str">
        <f t="shared" si="15"/>
        <v/>
      </c>
      <c r="P37" s="18" t="str">
        <f t="shared" si="15"/>
        <v/>
      </c>
      <c r="Q37" s="18" t="str">
        <f t="shared" si="16"/>
        <v/>
      </c>
      <c r="R37" s="18" t="str">
        <f t="shared" si="16"/>
        <v/>
      </c>
      <c r="S37" s="18" t="str">
        <f t="shared" si="16"/>
        <v/>
      </c>
      <c r="T37" s="18" t="str">
        <f t="shared" si="16"/>
        <v/>
      </c>
      <c r="U37" s="18" t="str">
        <f t="shared" si="16"/>
        <v/>
      </c>
      <c r="V37" s="18" t="str">
        <f t="shared" si="16"/>
        <v>■</v>
      </c>
      <c r="W37" s="18" t="str">
        <f t="shared" si="16"/>
        <v>■</v>
      </c>
      <c r="X37" s="18" t="str">
        <f t="shared" si="16"/>
        <v>■</v>
      </c>
      <c r="Y37" s="18" t="str">
        <f t="shared" si="16"/>
        <v/>
      </c>
      <c r="Z37" s="18" t="str">
        <f t="shared" si="16"/>
        <v/>
      </c>
      <c r="AA37" s="18" t="str">
        <f t="shared" si="17"/>
        <v/>
      </c>
      <c r="AB37" s="18" t="str">
        <f t="shared" si="17"/>
        <v/>
      </c>
      <c r="AC37" s="18" t="str">
        <f t="shared" si="17"/>
        <v/>
      </c>
      <c r="AD37" s="18" t="str">
        <f t="shared" si="17"/>
        <v/>
      </c>
      <c r="AE37" s="18" t="str">
        <f t="shared" si="17"/>
        <v/>
      </c>
      <c r="AF37" s="18" t="str">
        <f t="shared" si="17"/>
        <v/>
      </c>
      <c r="AG37" s="18" t="str">
        <f t="shared" si="17"/>
        <v/>
      </c>
      <c r="AH37" s="18" t="str">
        <f t="shared" si="17"/>
        <v/>
      </c>
      <c r="AI37" s="18" t="str">
        <f t="shared" si="17"/>
        <v/>
      </c>
      <c r="AJ37" s="18" t="str">
        <f t="shared" si="17"/>
        <v/>
      </c>
      <c r="AK37" s="19" t="str">
        <f t="shared" si="18"/>
        <v/>
      </c>
      <c r="AL37" s="19" t="str">
        <f t="shared" si="18"/>
        <v/>
      </c>
      <c r="AM37" s="19" t="str">
        <f t="shared" si="18"/>
        <v/>
      </c>
      <c r="AN37" s="19" t="str">
        <f t="shared" si="18"/>
        <v/>
      </c>
      <c r="AO37" s="19" t="str">
        <f t="shared" si="18"/>
        <v/>
      </c>
      <c r="AP37" s="19" t="str">
        <f t="shared" si="18"/>
        <v/>
      </c>
      <c r="AQ37" s="19" t="str">
        <f t="shared" si="18"/>
        <v/>
      </c>
      <c r="AR37" s="19" t="str">
        <f t="shared" si="18"/>
        <v/>
      </c>
      <c r="AS37" s="19" t="str">
        <f t="shared" si="18"/>
        <v/>
      </c>
      <c r="AT37" s="19" t="str">
        <f t="shared" si="18"/>
        <v/>
      </c>
      <c r="AU37" s="19" t="str">
        <f t="shared" si="19"/>
        <v/>
      </c>
      <c r="AV37" s="19" t="str">
        <f t="shared" si="19"/>
        <v/>
      </c>
      <c r="AW37" s="19" t="str">
        <f t="shared" si="19"/>
        <v/>
      </c>
      <c r="AX37" s="19" t="str">
        <f t="shared" si="19"/>
        <v/>
      </c>
      <c r="AY37" s="19" t="str">
        <f t="shared" si="19"/>
        <v/>
      </c>
      <c r="AZ37" s="19" t="str">
        <f t="shared" si="19"/>
        <v/>
      </c>
      <c r="BA37" s="19" t="str">
        <f t="shared" si="19"/>
        <v/>
      </c>
      <c r="BB37" s="19" t="str">
        <f t="shared" si="19"/>
        <v/>
      </c>
      <c r="BC37" s="19" t="str">
        <f t="shared" si="19"/>
        <v/>
      </c>
      <c r="BD37" s="19" t="str">
        <f t="shared" si="19"/>
        <v/>
      </c>
    </row>
    <row r="38" spans="1:56" ht="24" customHeight="1">
      <c r="A38" s="11" t="str">
        <f>'01_KeHoach'!A38</f>
        <v>WBS-3.11</v>
      </c>
      <c r="B38" s="7" t="str">
        <f>'01_KeHoach'!C38</f>
        <v>W4</v>
      </c>
      <c r="C38" s="7" t="str">
        <f>'01_KeHoach'!B38</f>
        <v>Thiết kế quy trình</v>
      </c>
      <c r="D38" s="7" t="str">
        <f>'01_KeHoach'!D38</f>
        <v>Tạo Backup/Restore Runbook &amp; Checklist</v>
      </c>
      <c r="E38" s="15">
        <f>'01_KeHoach'!G38</f>
        <v>46281</v>
      </c>
      <c r="F38" s="15">
        <f>'01_KeHoach'!H38</f>
        <v>46282</v>
      </c>
      <c r="G38" s="18" t="str">
        <f t="shared" si="15"/>
        <v/>
      </c>
      <c r="H38" s="18" t="str">
        <f t="shared" si="15"/>
        <v/>
      </c>
      <c r="I38" s="18" t="str">
        <f t="shared" si="15"/>
        <v/>
      </c>
      <c r="J38" s="18" t="str">
        <f t="shared" si="15"/>
        <v/>
      </c>
      <c r="K38" s="18" t="str">
        <f t="shared" si="15"/>
        <v/>
      </c>
      <c r="L38" s="18" t="str">
        <f t="shared" si="15"/>
        <v/>
      </c>
      <c r="M38" s="18" t="str">
        <f t="shared" si="15"/>
        <v/>
      </c>
      <c r="N38" s="18" t="str">
        <f t="shared" si="15"/>
        <v/>
      </c>
      <c r="O38" s="18" t="str">
        <f t="shared" si="15"/>
        <v/>
      </c>
      <c r="P38" s="18" t="str">
        <f t="shared" si="15"/>
        <v/>
      </c>
      <c r="Q38" s="18" t="str">
        <f t="shared" si="16"/>
        <v/>
      </c>
      <c r="R38" s="18" t="str">
        <f t="shared" si="16"/>
        <v/>
      </c>
      <c r="S38" s="18" t="str">
        <f t="shared" si="16"/>
        <v/>
      </c>
      <c r="T38" s="18" t="str">
        <f t="shared" si="16"/>
        <v/>
      </c>
      <c r="U38" s="18" t="str">
        <f t="shared" si="16"/>
        <v/>
      </c>
      <c r="V38" s="18" t="str">
        <f t="shared" si="16"/>
        <v/>
      </c>
      <c r="W38" s="18" t="str">
        <f t="shared" si="16"/>
        <v/>
      </c>
      <c r="X38" s="18" t="str">
        <f t="shared" si="16"/>
        <v>■</v>
      </c>
      <c r="Y38" s="18" t="str">
        <f t="shared" si="16"/>
        <v>■</v>
      </c>
      <c r="Z38" s="18" t="str">
        <f t="shared" si="16"/>
        <v/>
      </c>
      <c r="AA38" s="18" t="str">
        <f t="shared" si="17"/>
        <v/>
      </c>
      <c r="AB38" s="18" t="str">
        <f t="shared" si="17"/>
        <v/>
      </c>
      <c r="AC38" s="18" t="str">
        <f t="shared" si="17"/>
        <v/>
      </c>
      <c r="AD38" s="18" t="str">
        <f t="shared" si="17"/>
        <v/>
      </c>
      <c r="AE38" s="18" t="str">
        <f t="shared" si="17"/>
        <v/>
      </c>
      <c r="AF38" s="18" t="str">
        <f t="shared" si="17"/>
        <v/>
      </c>
      <c r="AG38" s="18" t="str">
        <f t="shared" si="17"/>
        <v/>
      </c>
      <c r="AH38" s="18" t="str">
        <f t="shared" si="17"/>
        <v/>
      </c>
      <c r="AI38" s="18" t="str">
        <f t="shared" si="17"/>
        <v/>
      </c>
      <c r="AJ38" s="18" t="str">
        <f t="shared" si="17"/>
        <v/>
      </c>
      <c r="AK38" s="19" t="str">
        <f t="shared" si="18"/>
        <v/>
      </c>
      <c r="AL38" s="19" t="str">
        <f t="shared" si="18"/>
        <v/>
      </c>
      <c r="AM38" s="19" t="str">
        <f t="shared" si="18"/>
        <v/>
      </c>
      <c r="AN38" s="19" t="str">
        <f t="shared" si="18"/>
        <v/>
      </c>
      <c r="AO38" s="19" t="str">
        <f t="shared" si="18"/>
        <v/>
      </c>
      <c r="AP38" s="19" t="str">
        <f t="shared" si="18"/>
        <v/>
      </c>
      <c r="AQ38" s="19" t="str">
        <f t="shared" si="18"/>
        <v/>
      </c>
      <c r="AR38" s="19" t="str">
        <f t="shared" si="18"/>
        <v/>
      </c>
      <c r="AS38" s="19" t="str">
        <f t="shared" si="18"/>
        <v/>
      </c>
      <c r="AT38" s="19" t="str">
        <f t="shared" si="18"/>
        <v/>
      </c>
      <c r="AU38" s="19" t="str">
        <f t="shared" si="19"/>
        <v/>
      </c>
      <c r="AV38" s="19" t="str">
        <f t="shared" si="19"/>
        <v/>
      </c>
      <c r="AW38" s="19" t="str">
        <f t="shared" si="19"/>
        <v/>
      </c>
      <c r="AX38" s="19" t="str">
        <f t="shared" si="19"/>
        <v/>
      </c>
      <c r="AY38" s="19" t="str">
        <f t="shared" si="19"/>
        <v/>
      </c>
      <c r="AZ38" s="19" t="str">
        <f t="shared" si="19"/>
        <v/>
      </c>
      <c r="BA38" s="19" t="str">
        <f t="shared" si="19"/>
        <v/>
      </c>
      <c r="BB38" s="19" t="str">
        <f t="shared" si="19"/>
        <v/>
      </c>
      <c r="BC38" s="19" t="str">
        <f t="shared" si="19"/>
        <v/>
      </c>
      <c r="BD38" s="19" t="str">
        <f t="shared" si="19"/>
        <v/>
      </c>
    </row>
    <row r="39" spans="1:56" ht="24" customHeight="1">
      <c r="A39" s="11" t="str">
        <f>'01_KeHoach'!A39</f>
        <v>WBS-3.12</v>
      </c>
      <c r="B39" s="7" t="str">
        <f>'01_KeHoach'!C39</f>
        <v>W4</v>
      </c>
      <c r="C39" s="7" t="str">
        <f>'01_KeHoach'!B39</f>
        <v>Thiết kế quy trình</v>
      </c>
      <c r="D39" s="7" t="str">
        <f>'01_KeHoach'!D39</f>
        <v>Xây Rollback/Fix-forward Plan</v>
      </c>
      <c r="E39" s="15">
        <f>'01_KeHoach'!G39</f>
        <v>46281</v>
      </c>
      <c r="F39" s="15">
        <f>'01_KeHoach'!H39</f>
        <v>46283</v>
      </c>
      <c r="G39" s="18" t="str">
        <f t="shared" si="15"/>
        <v/>
      </c>
      <c r="H39" s="18" t="str">
        <f t="shared" si="15"/>
        <v/>
      </c>
      <c r="I39" s="18" t="str">
        <f t="shared" si="15"/>
        <v/>
      </c>
      <c r="J39" s="18" t="str">
        <f t="shared" si="15"/>
        <v/>
      </c>
      <c r="K39" s="18" t="str">
        <f t="shared" si="15"/>
        <v/>
      </c>
      <c r="L39" s="18" t="str">
        <f t="shared" si="15"/>
        <v/>
      </c>
      <c r="M39" s="18" t="str">
        <f t="shared" si="15"/>
        <v/>
      </c>
      <c r="N39" s="18" t="str">
        <f t="shared" si="15"/>
        <v/>
      </c>
      <c r="O39" s="18" t="str">
        <f t="shared" si="15"/>
        <v/>
      </c>
      <c r="P39" s="18" t="str">
        <f t="shared" si="15"/>
        <v/>
      </c>
      <c r="Q39" s="18" t="str">
        <f t="shared" si="16"/>
        <v/>
      </c>
      <c r="R39" s="18" t="str">
        <f t="shared" si="16"/>
        <v/>
      </c>
      <c r="S39" s="18" t="str">
        <f t="shared" si="16"/>
        <v/>
      </c>
      <c r="T39" s="18" t="str">
        <f t="shared" si="16"/>
        <v/>
      </c>
      <c r="U39" s="18" t="str">
        <f t="shared" si="16"/>
        <v/>
      </c>
      <c r="V39" s="18" t="str">
        <f t="shared" si="16"/>
        <v/>
      </c>
      <c r="W39" s="18" t="str">
        <f t="shared" si="16"/>
        <v/>
      </c>
      <c r="X39" s="18" t="str">
        <f t="shared" si="16"/>
        <v>■</v>
      </c>
      <c r="Y39" s="18" t="str">
        <f t="shared" si="16"/>
        <v>■</v>
      </c>
      <c r="Z39" s="18" t="str">
        <f t="shared" si="16"/>
        <v>■</v>
      </c>
      <c r="AA39" s="18" t="str">
        <f t="shared" si="17"/>
        <v/>
      </c>
      <c r="AB39" s="18" t="str">
        <f t="shared" si="17"/>
        <v/>
      </c>
      <c r="AC39" s="18" t="str">
        <f t="shared" si="17"/>
        <v/>
      </c>
      <c r="AD39" s="18" t="str">
        <f t="shared" si="17"/>
        <v/>
      </c>
      <c r="AE39" s="18" t="str">
        <f t="shared" si="17"/>
        <v/>
      </c>
      <c r="AF39" s="18" t="str">
        <f t="shared" si="17"/>
        <v/>
      </c>
      <c r="AG39" s="18" t="str">
        <f t="shared" si="17"/>
        <v/>
      </c>
      <c r="AH39" s="18" t="str">
        <f t="shared" si="17"/>
        <v/>
      </c>
      <c r="AI39" s="18" t="str">
        <f t="shared" si="17"/>
        <v/>
      </c>
      <c r="AJ39" s="18" t="str">
        <f t="shared" si="17"/>
        <v/>
      </c>
      <c r="AK39" s="19" t="str">
        <f t="shared" si="18"/>
        <v/>
      </c>
      <c r="AL39" s="19" t="str">
        <f t="shared" si="18"/>
        <v/>
      </c>
      <c r="AM39" s="19" t="str">
        <f t="shared" si="18"/>
        <v/>
      </c>
      <c r="AN39" s="19" t="str">
        <f t="shared" si="18"/>
        <v/>
      </c>
      <c r="AO39" s="19" t="str">
        <f t="shared" si="18"/>
        <v/>
      </c>
      <c r="AP39" s="19" t="str">
        <f t="shared" si="18"/>
        <v/>
      </c>
      <c r="AQ39" s="19" t="str">
        <f t="shared" si="18"/>
        <v/>
      </c>
      <c r="AR39" s="19" t="str">
        <f t="shared" si="18"/>
        <v/>
      </c>
      <c r="AS39" s="19" t="str">
        <f t="shared" si="18"/>
        <v/>
      </c>
      <c r="AT39" s="19" t="str">
        <f t="shared" si="18"/>
        <v/>
      </c>
      <c r="AU39" s="19" t="str">
        <f t="shared" si="19"/>
        <v/>
      </c>
      <c r="AV39" s="19" t="str">
        <f t="shared" si="19"/>
        <v/>
      </c>
      <c r="AW39" s="19" t="str">
        <f t="shared" si="19"/>
        <v/>
      </c>
      <c r="AX39" s="19" t="str">
        <f t="shared" si="19"/>
        <v/>
      </c>
      <c r="AY39" s="19" t="str">
        <f t="shared" si="19"/>
        <v/>
      </c>
      <c r="AZ39" s="19" t="str">
        <f t="shared" si="19"/>
        <v/>
      </c>
      <c r="BA39" s="19" t="str">
        <f t="shared" si="19"/>
        <v/>
      </c>
      <c r="BB39" s="19" t="str">
        <f t="shared" si="19"/>
        <v/>
      </c>
      <c r="BC39" s="19" t="str">
        <f t="shared" si="19"/>
        <v/>
      </c>
      <c r="BD39" s="19" t="str">
        <f t="shared" si="19"/>
        <v/>
      </c>
    </row>
    <row r="40" spans="1:56" ht="24" customHeight="1">
      <c r="A40" s="11" t="str">
        <f>'01_KeHoach'!A40</f>
        <v>WBS-3.13</v>
      </c>
      <c r="B40" s="7" t="str">
        <f>'01_KeHoach'!C40</f>
        <v>W4</v>
      </c>
      <c r="C40" s="7" t="str">
        <f>'01_KeHoach'!B40</f>
        <v>Thiết kế quy trình</v>
      </c>
      <c r="D40" s="7" t="str">
        <f>'01_KeHoach'!D40</f>
        <v>Tạo Stop/Pause/Resume Checklist</v>
      </c>
      <c r="E40" s="15">
        <f>'01_KeHoach'!G40</f>
        <v>46282</v>
      </c>
      <c r="F40" s="15">
        <f>'01_KeHoach'!H40</f>
        <v>46282</v>
      </c>
      <c r="G40" s="18" t="str">
        <f t="shared" si="15"/>
        <v/>
      </c>
      <c r="H40" s="18" t="str">
        <f t="shared" si="15"/>
        <v/>
      </c>
      <c r="I40" s="18" t="str">
        <f t="shared" si="15"/>
        <v/>
      </c>
      <c r="J40" s="18" t="str">
        <f t="shared" si="15"/>
        <v/>
      </c>
      <c r="K40" s="18" t="str">
        <f t="shared" si="15"/>
        <v/>
      </c>
      <c r="L40" s="18" t="str">
        <f t="shared" si="15"/>
        <v/>
      </c>
      <c r="M40" s="18" t="str">
        <f t="shared" si="15"/>
        <v/>
      </c>
      <c r="N40" s="18" t="str">
        <f t="shared" si="15"/>
        <v/>
      </c>
      <c r="O40" s="18" t="str">
        <f t="shared" si="15"/>
        <v/>
      </c>
      <c r="P40" s="18" t="str">
        <f t="shared" si="15"/>
        <v/>
      </c>
      <c r="Q40" s="18" t="str">
        <f t="shared" si="16"/>
        <v/>
      </c>
      <c r="R40" s="18" t="str">
        <f t="shared" si="16"/>
        <v/>
      </c>
      <c r="S40" s="18" t="str">
        <f t="shared" si="16"/>
        <v/>
      </c>
      <c r="T40" s="18" t="str">
        <f t="shared" si="16"/>
        <v/>
      </c>
      <c r="U40" s="18" t="str">
        <f t="shared" si="16"/>
        <v/>
      </c>
      <c r="V40" s="18" t="str">
        <f t="shared" si="16"/>
        <v/>
      </c>
      <c r="W40" s="18" t="str">
        <f t="shared" si="16"/>
        <v/>
      </c>
      <c r="X40" s="18" t="str">
        <f t="shared" si="16"/>
        <v/>
      </c>
      <c r="Y40" s="18" t="str">
        <f t="shared" si="16"/>
        <v>■</v>
      </c>
      <c r="Z40" s="18" t="str">
        <f t="shared" si="16"/>
        <v/>
      </c>
      <c r="AA40" s="18" t="str">
        <f t="shared" si="17"/>
        <v/>
      </c>
      <c r="AB40" s="18" t="str">
        <f t="shared" si="17"/>
        <v/>
      </c>
      <c r="AC40" s="18" t="str">
        <f t="shared" si="17"/>
        <v/>
      </c>
      <c r="AD40" s="18" t="str">
        <f t="shared" si="17"/>
        <v/>
      </c>
      <c r="AE40" s="18" t="str">
        <f t="shared" si="17"/>
        <v/>
      </c>
      <c r="AF40" s="18" t="str">
        <f t="shared" si="17"/>
        <v/>
      </c>
      <c r="AG40" s="18" t="str">
        <f t="shared" si="17"/>
        <v/>
      </c>
      <c r="AH40" s="18" t="str">
        <f t="shared" si="17"/>
        <v/>
      </c>
      <c r="AI40" s="18" t="str">
        <f t="shared" si="17"/>
        <v/>
      </c>
      <c r="AJ40" s="18" t="str">
        <f t="shared" si="17"/>
        <v/>
      </c>
      <c r="AK40" s="19" t="str">
        <f t="shared" si="18"/>
        <v/>
      </c>
      <c r="AL40" s="19" t="str">
        <f t="shared" si="18"/>
        <v/>
      </c>
      <c r="AM40" s="19" t="str">
        <f t="shared" si="18"/>
        <v/>
      </c>
      <c r="AN40" s="19" t="str">
        <f t="shared" si="18"/>
        <v/>
      </c>
      <c r="AO40" s="19" t="str">
        <f t="shared" si="18"/>
        <v/>
      </c>
      <c r="AP40" s="19" t="str">
        <f t="shared" si="18"/>
        <v/>
      </c>
      <c r="AQ40" s="19" t="str">
        <f t="shared" si="18"/>
        <v/>
      </c>
      <c r="AR40" s="19" t="str">
        <f t="shared" si="18"/>
        <v/>
      </c>
      <c r="AS40" s="19" t="str">
        <f t="shared" si="18"/>
        <v/>
      </c>
      <c r="AT40" s="19" t="str">
        <f t="shared" si="18"/>
        <v/>
      </c>
      <c r="AU40" s="19" t="str">
        <f t="shared" si="19"/>
        <v/>
      </c>
      <c r="AV40" s="19" t="str">
        <f t="shared" si="19"/>
        <v/>
      </c>
      <c r="AW40" s="19" t="str">
        <f t="shared" si="19"/>
        <v/>
      </c>
      <c r="AX40" s="19" t="str">
        <f t="shared" si="19"/>
        <v/>
      </c>
      <c r="AY40" s="19" t="str">
        <f t="shared" si="19"/>
        <v/>
      </c>
      <c r="AZ40" s="19" t="str">
        <f t="shared" si="19"/>
        <v/>
      </c>
      <c r="BA40" s="19" t="str">
        <f t="shared" si="19"/>
        <v/>
      </c>
      <c r="BB40" s="19" t="str">
        <f t="shared" si="19"/>
        <v/>
      </c>
      <c r="BC40" s="19" t="str">
        <f t="shared" si="19"/>
        <v/>
      </c>
      <c r="BD40" s="19" t="str">
        <f t="shared" si="19"/>
        <v/>
      </c>
    </row>
    <row r="41" spans="1:56" ht="24" customHeight="1">
      <c r="A41" s="11" t="str">
        <f>'01_KeHoach'!A41</f>
        <v>WBS-3.14</v>
      </c>
      <c r="B41" s="7" t="str">
        <f>'01_KeHoach'!C41</f>
        <v>W4</v>
      </c>
      <c r="C41" s="7" t="str">
        <f>'01_KeHoach'!B41</f>
        <v>Thiết kế quy trình</v>
      </c>
      <c r="D41" s="7" t="str">
        <f>'01_KeHoach'!D41</f>
        <v>Xây Lab Test Plan</v>
      </c>
      <c r="E41" s="15">
        <f>'01_KeHoach'!G41</f>
        <v>46280</v>
      </c>
      <c r="F41" s="15">
        <f>'01_KeHoach'!H41</f>
        <v>46283</v>
      </c>
      <c r="G41" s="18" t="str">
        <f t="shared" si="15"/>
        <v/>
      </c>
      <c r="H41" s="18" t="str">
        <f t="shared" si="15"/>
        <v/>
      </c>
      <c r="I41" s="18" t="str">
        <f t="shared" si="15"/>
        <v/>
      </c>
      <c r="J41" s="18" t="str">
        <f t="shared" si="15"/>
        <v/>
      </c>
      <c r="K41" s="18" t="str">
        <f t="shared" si="15"/>
        <v/>
      </c>
      <c r="L41" s="18" t="str">
        <f t="shared" si="15"/>
        <v/>
      </c>
      <c r="M41" s="18" t="str">
        <f t="shared" si="15"/>
        <v/>
      </c>
      <c r="N41" s="18" t="str">
        <f t="shared" si="15"/>
        <v/>
      </c>
      <c r="O41" s="18" t="str">
        <f t="shared" si="15"/>
        <v/>
      </c>
      <c r="P41" s="18" t="str">
        <f t="shared" si="15"/>
        <v/>
      </c>
      <c r="Q41" s="18" t="str">
        <f t="shared" si="16"/>
        <v/>
      </c>
      <c r="R41" s="18" t="str">
        <f t="shared" si="16"/>
        <v/>
      </c>
      <c r="S41" s="18" t="str">
        <f t="shared" si="16"/>
        <v/>
      </c>
      <c r="T41" s="18" t="str">
        <f t="shared" si="16"/>
        <v/>
      </c>
      <c r="U41" s="18" t="str">
        <f t="shared" si="16"/>
        <v/>
      </c>
      <c r="V41" s="18" t="str">
        <f t="shared" si="16"/>
        <v/>
      </c>
      <c r="W41" s="18" t="str">
        <f t="shared" si="16"/>
        <v>■</v>
      </c>
      <c r="X41" s="18" t="str">
        <f t="shared" si="16"/>
        <v>■</v>
      </c>
      <c r="Y41" s="18" t="str">
        <f t="shared" si="16"/>
        <v>■</v>
      </c>
      <c r="Z41" s="18" t="str">
        <f t="shared" si="16"/>
        <v>■</v>
      </c>
      <c r="AA41" s="18" t="str">
        <f t="shared" si="17"/>
        <v/>
      </c>
      <c r="AB41" s="18" t="str">
        <f t="shared" si="17"/>
        <v/>
      </c>
      <c r="AC41" s="18" t="str">
        <f t="shared" si="17"/>
        <v/>
      </c>
      <c r="AD41" s="18" t="str">
        <f t="shared" si="17"/>
        <v/>
      </c>
      <c r="AE41" s="18" t="str">
        <f t="shared" si="17"/>
        <v/>
      </c>
      <c r="AF41" s="18" t="str">
        <f t="shared" si="17"/>
        <v/>
      </c>
      <c r="AG41" s="18" t="str">
        <f t="shared" si="17"/>
        <v/>
      </c>
      <c r="AH41" s="18" t="str">
        <f t="shared" si="17"/>
        <v/>
      </c>
      <c r="AI41" s="18" t="str">
        <f t="shared" si="17"/>
        <v/>
      </c>
      <c r="AJ41" s="18" t="str">
        <f t="shared" si="17"/>
        <v/>
      </c>
      <c r="AK41" s="19" t="str">
        <f t="shared" si="18"/>
        <v/>
      </c>
      <c r="AL41" s="19" t="str">
        <f t="shared" si="18"/>
        <v/>
      </c>
      <c r="AM41" s="19" t="str">
        <f t="shared" si="18"/>
        <v/>
      </c>
      <c r="AN41" s="19" t="str">
        <f t="shared" si="18"/>
        <v/>
      </c>
      <c r="AO41" s="19" t="str">
        <f t="shared" si="18"/>
        <v/>
      </c>
      <c r="AP41" s="19" t="str">
        <f t="shared" si="18"/>
        <v/>
      </c>
      <c r="AQ41" s="19" t="str">
        <f t="shared" si="18"/>
        <v/>
      </c>
      <c r="AR41" s="19" t="str">
        <f t="shared" si="18"/>
        <v/>
      </c>
      <c r="AS41" s="19" t="str">
        <f t="shared" si="18"/>
        <v/>
      </c>
      <c r="AT41" s="19" t="str">
        <f t="shared" si="18"/>
        <v/>
      </c>
      <c r="AU41" s="19" t="str">
        <f t="shared" si="19"/>
        <v/>
      </c>
      <c r="AV41" s="19" t="str">
        <f t="shared" si="19"/>
        <v/>
      </c>
      <c r="AW41" s="19" t="str">
        <f t="shared" si="19"/>
        <v/>
      </c>
      <c r="AX41" s="19" t="str">
        <f t="shared" si="19"/>
        <v/>
      </c>
      <c r="AY41" s="19" t="str">
        <f t="shared" si="19"/>
        <v/>
      </c>
      <c r="AZ41" s="19" t="str">
        <f t="shared" si="19"/>
        <v/>
      </c>
      <c r="BA41" s="19" t="str">
        <f t="shared" si="19"/>
        <v/>
      </c>
      <c r="BB41" s="19" t="str">
        <f t="shared" si="19"/>
        <v/>
      </c>
      <c r="BC41" s="19" t="str">
        <f t="shared" si="19"/>
        <v/>
      </c>
      <c r="BD41" s="19" t="str">
        <f t="shared" si="19"/>
        <v/>
      </c>
    </row>
    <row r="42" spans="1:56" ht="24" customHeight="1">
      <c r="A42" s="11" t="str">
        <f>'01_KeHoach'!A42</f>
        <v>WBS-3.15</v>
      </c>
      <c r="B42" s="7" t="str">
        <f>'01_KeHoach'!C42</f>
        <v>W4</v>
      </c>
      <c r="C42" s="7" t="str">
        <f>'01_KeHoach'!B42</f>
        <v>Thiết kế quy trình</v>
      </c>
      <c r="D42" s="7" t="str">
        <f>'01_KeHoach'!D42</f>
        <v>Thiết kế Lab–Production Equivalence Matrix và IO workload ảo</v>
      </c>
      <c r="E42" s="15">
        <f>'01_KeHoach'!G42</f>
        <v>46279</v>
      </c>
      <c r="F42" s="15">
        <f>'01_KeHoach'!H42</f>
        <v>46283</v>
      </c>
      <c r="G42" s="18" t="str">
        <f t="shared" si="15"/>
        <v/>
      </c>
      <c r="H42" s="18" t="str">
        <f t="shared" si="15"/>
        <v/>
      </c>
      <c r="I42" s="18" t="str">
        <f t="shared" si="15"/>
        <v/>
      </c>
      <c r="J42" s="18" t="str">
        <f t="shared" si="15"/>
        <v/>
      </c>
      <c r="K42" s="18" t="str">
        <f t="shared" si="15"/>
        <v/>
      </c>
      <c r="L42" s="18" t="str">
        <f t="shared" si="15"/>
        <v/>
      </c>
      <c r="M42" s="18" t="str">
        <f t="shared" si="15"/>
        <v/>
      </c>
      <c r="N42" s="18" t="str">
        <f t="shared" si="15"/>
        <v/>
      </c>
      <c r="O42" s="18" t="str">
        <f t="shared" si="15"/>
        <v/>
      </c>
      <c r="P42" s="18" t="str">
        <f t="shared" si="15"/>
        <v/>
      </c>
      <c r="Q42" s="18" t="str">
        <f t="shared" si="16"/>
        <v/>
      </c>
      <c r="R42" s="18" t="str">
        <f t="shared" si="16"/>
        <v/>
      </c>
      <c r="S42" s="18" t="str">
        <f t="shared" si="16"/>
        <v/>
      </c>
      <c r="T42" s="18" t="str">
        <f t="shared" si="16"/>
        <v/>
      </c>
      <c r="U42" s="18" t="str">
        <f t="shared" si="16"/>
        <v/>
      </c>
      <c r="V42" s="18" t="str">
        <f t="shared" si="16"/>
        <v>■</v>
      </c>
      <c r="W42" s="18" t="str">
        <f t="shared" si="16"/>
        <v>■</v>
      </c>
      <c r="X42" s="18" t="str">
        <f t="shared" si="16"/>
        <v>■</v>
      </c>
      <c r="Y42" s="18" t="str">
        <f t="shared" si="16"/>
        <v>■</v>
      </c>
      <c r="Z42" s="18" t="str">
        <f t="shared" si="16"/>
        <v>■</v>
      </c>
      <c r="AA42" s="18" t="str">
        <f t="shared" si="17"/>
        <v/>
      </c>
      <c r="AB42" s="18" t="str">
        <f t="shared" si="17"/>
        <v/>
      </c>
      <c r="AC42" s="18" t="str">
        <f t="shared" si="17"/>
        <v/>
      </c>
      <c r="AD42" s="18" t="str">
        <f t="shared" si="17"/>
        <v/>
      </c>
      <c r="AE42" s="18" t="str">
        <f t="shared" si="17"/>
        <v/>
      </c>
      <c r="AF42" s="18" t="str">
        <f t="shared" si="17"/>
        <v/>
      </c>
      <c r="AG42" s="18" t="str">
        <f t="shared" si="17"/>
        <v/>
      </c>
      <c r="AH42" s="18" t="str">
        <f t="shared" si="17"/>
        <v/>
      </c>
      <c r="AI42" s="18" t="str">
        <f t="shared" si="17"/>
        <v/>
      </c>
      <c r="AJ42" s="18" t="str">
        <f t="shared" si="17"/>
        <v/>
      </c>
      <c r="AK42" s="19" t="str">
        <f t="shared" si="18"/>
        <v/>
      </c>
      <c r="AL42" s="19" t="str">
        <f t="shared" si="18"/>
        <v/>
      </c>
      <c r="AM42" s="19" t="str">
        <f t="shared" si="18"/>
        <v/>
      </c>
      <c r="AN42" s="19" t="str">
        <f t="shared" si="18"/>
        <v/>
      </c>
      <c r="AO42" s="19" t="str">
        <f t="shared" si="18"/>
        <v/>
      </c>
      <c r="AP42" s="19" t="str">
        <f t="shared" si="18"/>
        <v/>
      </c>
      <c r="AQ42" s="19" t="str">
        <f t="shared" si="18"/>
        <v/>
      </c>
      <c r="AR42" s="19" t="str">
        <f t="shared" si="18"/>
        <v/>
      </c>
      <c r="AS42" s="19" t="str">
        <f t="shared" si="18"/>
        <v/>
      </c>
      <c r="AT42" s="19" t="str">
        <f t="shared" si="18"/>
        <v/>
      </c>
      <c r="AU42" s="19" t="str">
        <f t="shared" si="19"/>
        <v/>
      </c>
      <c r="AV42" s="19" t="str">
        <f t="shared" si="19"/>
        <v/>
      </c>
      <c r="AW42" s="19" t="str">
        <f t="shared" si="19"/>
        <v/>
      </c>
      <c r="AX42" s="19" t="str">
        <f t="shared" si="19"/>
        <v/>
      </c>
      <c r="AY42" s="19" t="str">
        <f t="shared" si="19"/>
        <v/>
      </c>
      <c r="AZ42" s="19" t="str">
        <f t="shared" si="19"/>
        <v/>
      </c>
      <c r="BA42" s="19" t="str">
        <f t="shared" si="19"/>
        <v/>
      </c>
      <c r="BB42" s="19" t="str">
        <f t="shared" si="19"/>
        <v/>
      </c>
      <c r="BC42" s="19" t="str">
        <f t="shared" si="19"/>
        <v/>
      </c>
      <c r="BD42" s="19" t="str">
        <f t="shared" si="19"/>
        <v/>
      </c>
    </row>
    <row r="43" spans="1:56" ht="24" customHeight="1">
      <c r="A43" s="11" t="str">
        <f>'01_KeHoach'!A43</f>
        <v>WBS-4.1</v>
      </c>
      <c r="B43" s="7" t="str">
        <f>'01_KeHoach'!C43</f>
        <v>W5</v>
      </c>
      <c r="C43" s="7" t="str">
        <f>'01_KeHoach'!B43</f>
        <v>Dựng Lab &amp; Baseline</v>
      </c>
      <c r="D43" s="7" t="str">
        <f>'01_KeHoach'!D43</f>
        <v>Cấp phát tài nguyên Lab</v>
      </c>
      <c r="E43" s="15">
        <f>'01_KeHoach'!G43</f>
        <v>46286</v>
      </c>
      <c r="F43" s="15">
        <f>'01_KeHoach'!H43</f>
        <v>46286</v>
      </c>
      <c r="G43" s="18" t="str">
        <f t="shared" si="15"/>
        <v/>
      </c>
      <c r="H43" s="18" t="str">
        <f t="shared" si="15"/>
        <v/>
      </c>
      <c r="I43" s="18" t="str">
        <f t="shared" si="15"/>
        <v/>
      </c>
      <c r="J43" s="18" t="str">
        <f t="shared" si="15"/>
        <v/>
      </c>
      <c r="K43" s="18" t="str">
        <f t="shared" si="15"/>
        <v/>
      </c>
      <c r="L43" s="18" t="str">
        <f t="shared" si="15"/>
        <v/>
      </c>
      <c r="M43" s="18" t="str">
        <f t="shared" si="15"/>
        <v/>
      </c>
      <c r="N43" s="18" t="str">
        <f t="shared" si="15"/>
        <v/>
      </c>
      <c r="O43" s="18" t="str">
        <f t="shared" si="15"/>
        <v/>
      </c>
      <c r="P43" s="18" t="str">
        <f t="shared" si="15"/>
        <v/>
      </c>
      <c r="Q43" s="18" t="str">
        <f t="shared" si="16"/>
        <v/>
      </c>
      <c r="R43" s="18" t="str">
        <f t="shared" si="16"/>
        <v/>
      </c>
      <c r="S43" s="18" t="str">
        <f t="shared" si="16"/>
        <v/>
      </c>
      <c r="T43" s="18" t="str">
        <f t="shared" si="16"/>
        <v/>
      </c>
      <c r="U43" s="18" t="str">
        <f t="shared" si="16"/>
        <v/>
      </c>
      <c r="V43" s="18" t="str">
        <f t="shared" si="16"/>
        <v/>
      </c>
      <c r="W43" s="18" t="str">
        <f t="shared" si="16"/>
        <v/>
      </c>
      <c r="X43" s="18" t="str">
        <f t="shared" si="16"/>
        <v/>
      </c>
      <c r="Y43" s="18" t="str">
        <f t="shared" si="16"/>
        <v/>
      </c>
      <c r="Z43" s="18" t="str">
        <f t="shared" si="16"/>
        <v/>
      </c>
      <c r="AA43" s="18" t="str">
        <f t="shared" si="17"/>
        <v>■</v>
      </c>
      <c r="AB43" s="18" t="str">
        <f t="shared" si="17"/>
        <v/>
      </c>
      <c r="AC43" s="18" t="str">
        <f t="shared" si="17"/>
        <v/>
      </c>
      <c r="AD43" s="18" t="str">
        <f t="shared" si="17"/>
        <v/>
      </c>
      <c r="AE43" s="18" t="str">
        <f t="shared" si="17"/>
        <v/>
      </c>
      <c r="AF43" s="18" t="str">
        <f t="shared" si="17"/>
        <v/>
      </c>
      <c r="AG43" s="18" t="str">
        <f t="shared" si="17"/>
        <v/>
      </c>
      <c r="AH43" s="18" t="str">
        <f t="shared" si="17"/>
        <v/>
      </c>
      <c r="AI43" s="18" t="str">
        <f t="shared" si="17"/>
        <v/>
      </c>
      <c r="AJ43" s="18" t="str">
        <f t="shared" si="17"/>
        <v/>
      </c>
      <c r="AK43" s="19" t="str">
        <f t="shared" si="18"/>
        <v/>
      </c>
      <c r="AL43" s="19" t="str">
        <f t="shared" si="18"/>
        <v/>
      </c>
      <c r="AM43" s="19" t="str">
        <f t="shared" si="18"/>
        <v/>
      </c>
      <c r="AN43" s="19" t="str">
        <f t="shared" si="18"/>
        <v/>
      </c>
      <c r="AO43" s="19" t="str">
        <f t="shared" si="18"/>
        <v/>
      </c>
      <c r="AP43" s="19" t="str">
        <f t="shared" si="18"/>
        <v/>
      </c>
      <c r="AQ43" s="19" t="str">
        <f t="shared" si="18"/>
        <v/>
      </c>
      <c r="AR43" s="19" t="str">
        <f t="shared" si="18"/>
        <v/>
      </c>
      <c r="AS43" s="19" t="str">
        <f t="shared" si="18"/>
        <v/>
      </c>
      <c r="AT43" s="19" t="str">
        <f t="shared" si="18"/>
        <v/>
      </c>
      <c r="AU43" s="19" t="str">
        <f t="shared" si="19"/>
        <v/>
      </c>
      <c r="AV43" s="19" t="str">
        <f t="shared" si="19"/>
        <v/>
      </c>
      <c r="AW43" s="19" t="str">
        <f t="shared" si="19"/>
        <v/>
      </c>
      <c r="AX43" s="19" t="str">
        <f t="shared" si="19"/>
        <v/>
      </c>
      <c r="AY43" s="19" t="str">
        <f t="shared" si="19"/>
        <v/>
      </c>
      <c r="AZ43" s="19" t="str">
        <f t="shared" si="19"/>
        <v/>
      </c>
      <c r="BA43" s="19" t="str">
        <f t="shared" si="19"/>
        <v/>
      </c>
      <c r="BB43" s="19" t="str">
        <f t="shared" si="19"/>
        <v/>
      </c>
      <c r="BC43" s="19" t="str">
        <f t="shared" si="19"/>
        <v/>
      </c>
      <c r="BD43" s="19" t="str">
        <f t="shared" si="19"/>
        <v/>
      </c>
    </row>
    <row r="44" spans="1:56" ht="24" customHeight="1">
      <c r="A44" s="11" t="str">
        <f>'01_KeHoach'!A44</f>
        <v>WBS-4.2</v>
      </c>
      <c r="B44" s="7" t="str">
        <f>'01_KeHoach'!C44</f>
        <v>W5</v>
      </c>
      <c r="C44" s="7" t="str">
        <f>'01_KeHoach'!B44</f>
        <v>Dựng Lab &amp; Baseline</v>
      </c>
      <c r="D44" s="7" t="str">
        <f>'01_KeHoach'!D44</f>
        <v>Dựng Ceph Pacific 16.2.5 base</v>
      </c>
      <c r="E44" s="15">
        <f>'01_KeHoach'!G44</f>
        <v>46286</v>
      </c>
      <c r="F44" s="15">
        <f>'01_KeHoach'!H44</f>
        <v>46287</v>
      </c>
      <c r="G44" s="18" t="str">
        <f t="shared" si="15"/>
        <v/>
      </c>
      <c r="H44" s="18" t="str">
        <f t="shared" si="15"/>
        <v/>
      </c>
      <c r="I44" s="18" t="str">
        <f t="shared" si="15"/>
        <v/>
      </c>
      <c r="J44" s="18" t="str">
        <f t="shared" si="15"/>
        <v/>
      </c>
      <c r="K44" s="18" t="str">
        <f t="shared" si="15"/>
        <v/>
      </c>
      <c r="L44" s="18" t="str">
        <f t="shared" si="15"/>
        <v/>
      </c>
      <c r="M44" s="18" t="str">
        <f t="shared" si="15"/>
        <v/>
      </c>
      <c r="N44" s="18" t="str">
        <f t="shared" si="15"/>
        <v/>
      </c>
      <c r="O44" s="18" t="str">
        <f t="shared" si="15"/>
        <v/>
      </c>
      <c r="P44" s="18" t="str">
        <f t="shared" si="15"/>
        <v/>
      </c>
      <c r="Q44" s="18" t="str">
        <f t="shared" si="16"/>
        <v/>
      </c>
      <c r="R44" s="18" t="str">
        <f t="shared" si="16"/>
        <v/>
      </c>
      <c r="S44" s="18" t="str">
        <f t="shared" si="16"/>
        <v/>
      </c>
      <c r="T44" s="18" t="str">
        <f t="shared" si="16"/>
        <v/>
      </c>
      <c r="U44" s="18" t="str">
        <f t="shared" si="16"/>
        <v/>
      </c>
      <c r="V44" s="18" t="str">
        <f t="shared" si="16"/>
        <v/>
      </c>
      <c r="W44" s="18" t="str">
        <f t="shared" si="16"/>
        <v/>
      </c>
      <c r="X44" s="18" t="str">
        <f t="shared" si="16"/>
        <v/>
      </c>
      <c r="Y44" s="18" t="str">
        <f t="shared" si="16"/>
        <v/>
      </c>
      <c r="Z44" s="18" t="str">
        <f t="shared" si="16"/>
        <v/>
      </c>
      <c r="AA44" s="18" t="str">
        <f t="shared" si="17"/>
        <v>■</v>
      </c>
      <c r="AB44" s="18" t="str">
        <f t="shared" si="17"/>
        <v>■</v>
      </c>
      <c r="AC44" s="18" t="str">
        <f t="shared" si="17"/>
        <v/>
      </c>
      <c r="AD44" s="18" t="str">
        <f t="shared" si="17"/>
        <v/>
      </c>
      <c r="AE44" s="18" t="str">
        <f t="shared" si="17"/>
        <v/>
      </c>
      <c r="AF44" s="18" t="str">
        <f t="shared" si="17"/>
        <v/>
      </c>
      <c r="AG44" s="18" t="str">
        <f t="shared" si="17"/>
        <v/>
      </c>
      <c r="AH44" s="18" t="str">
        <f t="shared" si="17"/>
        <v/>
      </c>
      <c r="AI44" s="18" t="str">
        <f t="shared" si="17"/>
        <v/>
      </c>
      <c r="AJ44" s="18" t="str">
        <f t="shared" si="17"/>
        <v/>
      </c>
      <c r="AK44" s="19" t="str">
        <f t="shared" si="18"/>
        <v/>
      </c>
      <c r="AL44" s="19" t="str">
        <f t="shared" si="18"/>
        <v/>
      </c>
      <c r="AM44" s="19" t="str">
        <f t="shared" si="18"/>
        <v/>
      </c>
      <c r="AN44" s="19" t="str">
        <f t="shared" si="18"/>
        <v/>
      </c>
      <c r="AO44" s="19" t="str">
        <f t="shared" si="18"/>
        <v/>
      </c>
      <c r="AP44" s="19" t="str">
        <f t="shared" si="18"/>
        <v/>
      </c>
      <c r="AQ44" s="19" t="str">
        <f t="shared" si="18"/>
        <v/>
      </c>
      <c r="AR44" s="19" t="str">
        <f t="shared" si="18"/>
        <v/>
      </c>
      <c r="AS44" s="19" t="str">
        <f t="shared" si="18"/>
        <v/>
      </c>
      <c r="AT44" s="19" t="str">
        <f t="shared" si="18"/>
        <v/>
      </c>
      <c r="AU44" s="19" t="str">
        <f t="shared" si="19"/>
        <v/>
      </c>
      <c r="AV44" s="19" t="str">
        <f t="shared" si="19"/>
        <v/>
      </c>
      <c r="AW44" s="19" t="str">
        <f t="shared" si="19"/>
        <v/>
      </c>
      <c r="AX44" s="19" t="str">
        <f t="shared" si="19"/>
        <v/>
      </c>
      <c r="AY44" s="19" t="str">
        <f t="shared" si="19"/>
        <v/>
      </c>
      <c r="AZ44" s="19" t="str">
        <f t="shared" si="19"/>
        <v/>
      </c>
      <c r="BA44" s="19" t="str">
        <f t="shared" si="19"/>
        <v/>
      </c>
      <c r="BB44" s="19" t="str">
        <f t="shared" si="19"/>
        <v/>
      </c>
      <c r="BC44" s="19" t="str">
        <f t="shared" si="19"/>
        <v/>
      </c>
      <c r="BD44" s="19" t="str">
        <f t="shared" si="19"/>
        <v/>
      </c>
    </row>
    <row r="45" spans="1:56" ht="24" customHeight="1">
      <c r="A45" s="11" t="str">
        <f>'01_KeHoach'!A45</f>
        <v>WBS-4.3</v>
      </c>
      <c r="B45" s="7" t="str">
        <f>'01_KeHoach'!C45</f>
        <v>W5</v>
      </c>
      <c r="C45" s="7" t="str">
        <f>'01_KeHoach'!B45</f>
        <v>Dựng Lab &amp; Baseline</v>
      </c>
      <c r="D45" s="7" t="str">
        <f>'01_KeHoach'!D45</f>
        <v>Cấu hình dịch vụ và client</v>
      </c>
      <c r="E45" s="15">
        <f>'01_KeHoach'!G45</f>
        <v>46287</v>
      </c>
      <c r="F45" s="15">
        <f>'01_KeHoach'!H45</f>
        <v>46288</v>
      </c>
      <c r="G45" s="18" t="str">
        <f t="shared" si="15"/>
        <v/>
      </c>
      <c r="H45" s="18" t="str">
        <f t="shared" si="15"/>
        <v/>
      </c>
      <c r="I45" s="18" t="str">
        <f t="shared" si="15"/>
        <v/>
      </c>
      <c r="J45" s="18" t="str">
        <f t="shared" si="15"/>
        <v/>
      </c>
      <c r="K45" s="18" t="str">
        <f t="shared" si="15"/>
        <v/>
      </c>
      <c r="L45" s="18" t="str">
        <f t="shared" si="15"/>
        <v/>
      </c>
      <c r="M45" s="18" t="str">
        <f t="shared" si="15"/>
        <v/>
      </c>
      <c r="N45" s="18" t="str">
        <f t="shared" si="15"/>
        <v/>
      </c>
      <c r="O45" s="18" t="str">
        <f t="shared" si="15"/>
        <v/>
      </c>
      <c r="P45" s="18" t="str">
        <f t="shared" si="15"/>
        <v/>
      </c>
      <c r="Q45" s="18" t="str">
        <f t="shared" si="16"/>
        <v/>
      </c>
      <c r="R45" s="18" t="str">
        <f t="shared" si="16"/>
        <v/>
      </c>
      <c r="S45" s="18" t="str">
        <f t="shared" si="16"/>
        <v/>
      </c>
      <c r="T45" s="18" t="str">
        <f t="shared" si="16"/>
        <v/>
      </c>
      <c r="U45" s="18" t="str">
        <f t="shared" si="16"/>
        <v/>
      </c>
      <c r="V45" s="18" t="str">
        <f t="shared" si="16"/>
        <v/>
      </c>
      <c r="W45" s="18" t="str">
        <f t="shared" si="16"/>
        <v/>
      </c>
      <c r="X45" s="18" t="str">
        <f t="shared" si="16"/>
        <v/>
      </c>
      <c r="Y45" s="18" t="str">
        <f t="shared" si="16"/>
        <v/>
      </c>
      <c r="Z45" s="18" t="str">
        <f t="shared" si="16"/>
        <v/>
      </c>
      <c r="AA45" s="18" t="str">
        <f t="shared" si="17"/>
        <v/>
      </c>
      <c r="AB45" s="18" t="str">
        <f t="shared" si="17"/>
        <v>■</v>
      </c>
      <c r="AC45" s="18" t="str">
        <f t="shared" si="17"/>
        <v>■</v>
      </c>
      <c r="AD45" s="18" t="str">
        <f t="shared" si="17"/>
        <v/>
      </c>
      <c r="AE45" s="18" t="str">
        <f t="shared" si="17"/>
        <v/>
      </c>
      <c r="AF45" s="18" t="str">
        <f t="shared" si="17"/>
        <v/>
      </c>
      <c r="AG45" s="18" t="str">
        <f t="shared" si="17"/>
        <v/>
      </c>
      <c r="AH45" s="18" t="str">
        <f t="shared" si="17"/>
        <v/>
      </c>
      <c r="AI45" s="18" t="str">
        <f t="shared" si="17"/>
        <v/>
      </c>
      <c r="AJ45" s="18" t="str">
        <f t="shared" si="17"/>
        <v/>
      </c>
      <c r="AK45" s="19" t="str">
        <f t="shared" si="18"/>
        <v/>
      </c>
      <c r="AL45" s="19" t="str">
        <f t="shared" si="18"/>
        <v/>
      </c>
      <c r="AM45" s="19" t="str">
        <f t="shared" si="18"/>
        <v/>
      </c>
      <c r="AN45" s="19" t="str">
        <f t="shared" si="18"/>
        <v/>
      </c>
      <c r="AO45" s="19" t="str">
        <f t="shared" si="18"/>
        <v/>
      </c>
      <c r="AP45" s="19" t="str">
        <f t="shared" si="18"/>
        <v/>
      </c>
      <c r="AQ45" s="19" t="str">
        <f t="shared" si="18"/>
        <v/>
      </c>
      <c r="AR45" s="19" t="str">
        <f t="shared" si="18"/>
        <v/>
      </c>
      <c r="AS45" s="19" t="str">
        <f t="shared" si="18"/>
        <v/>
      </c>
      <c r="AT45" s="19" t="str">
        <f t="shared" si="18"/>
        <v/>
      </c>
      <c r="AU45" s="19" t="str">
        <f t="shared" si="19"/>
        <v/>
      </c>
      <c r="AV45" s="19" t="str">
        <f t="shared" si="19"/>
        <v/>
      </c>
      <c r="AW45" s="19" t="str">
        <f t="shared" si="19"/>
        <v/>
      </c>
      <c r="AX45" s="19" t="str">
        <f t="shared" si="19"/>
        <v/>
      </c>
      <c r="AY45" s="19" t="str">
        <f t="shared" si="19"/>
        <v/>
      </c>
      <c r="AZ45" s="19" t="str">
        <f t="shared" si="19"/>
        <v/>
      </c>
      <c r="BA45" s="19" t="str">
        <f t="shared" si="19"/>
        <v/>
      </c>
      <c r="BB45" s="19" t="str">
        <f t="shared" si="19"/>
        <v/>
      </c>
      <c r="BC45" s="19" t="str">
        <f t="shared" si="19"/>
        <v/>
      </c>
      <c r="BD45" s="19" t="str">
        <f t="shared" si="19"/>
        <v/>
      </c>
    </row>
    <row r="46" spans="1:56" ht="24" customHeight="1">
      <c r="A46" s="11" t="str">
        <f>'01_KeHoach'!A46</f>
        <v>WBS-4.4</v>
      </c>
      <c r="B46" s="7" t="str">
        <f>'01_KeHoach'!C46</f>
        <v>W5</v>
      </c>
      <c r="C46" s="7" t="str">
        <f>'01_KeHoach'!B46</f>
        <v>Dựng Lab &amp; Baseline</v>
      </c>
      <c r="D46" s="7" t="str">
        <f>'01_KeHoach'!D46</f>
        <v>Triển khai monitoring, Evidence Collector và dashboard</v>
      </c>
      <c r="E46" s="15">
        <f>'01_KeHoach'!G46</f>
        <v>46288</v>
      </c>
      <c r="F46" s="15">
        <f>'01_KeHoach'!H46</f>
        <v>46290</v>
      </c>
      <c r="G46" s="18" t="str">
        <f t="shared" ref="G46:P55" si="20">IF(AND(G$5&gt;=$E46,G$5&lt;=$F46),"■","")</f>
        <v/>
      </c>
      <c r="H46" s="18" t="str">
        <f t="shared" si="20"/>
        <v/>
      </c>
      <c r="I46" s="18" t="str">
        <f t="shared" si="20"/>
        <v/>
      </c>
      <c r="J46" s="18" t="str">
        <f t="shared" si="20"/>
        <v/>
      </c>
      <c r="K46" s="18" t="str">
        <f t="shared" si="20"/>
        <v/>
      </c>
      <c r="L46" s="18" t="str">
        <f t="shared" si="20"/>
        <v/>
      </c>
      <c r="M46" s="18" t="str">
        <f t="shared" si="20"/>
        <v/>
      </c>
      <c r="N46" s="18" t="str">
        <f t="shared" si="20"/>
        <v/>
      </c>
      <c r="O46" s="18" t="str">
        <f t="shared" si="20"/>
        <v/>
      </c>
      <c r="P46" s="18" t="str">
        <f t="shared" si="20"/>
        <v/>
      </c>
      <c r="Q46" s="18" t="str">
        <f t="shared" ref="Q46:Z55" si="21">IF(AND(Q$5&gt;=$E46,Q$5&lt;=$F46),"■","")</f>
        <v/>
      </c>
      <c r="R46" s="18" t="str">
        <f t="shared" si="21"/>
        <v/>
      </c>
      <c r="S46" s="18" t="str">
        <f t="shared" si="21"/>
        <v/>
      </c>
      <c r="T46" s="18" t="str">
        <f t="shared" si="21"/>
        <v/>
      </c>
      <c r="U46" s="18" t="str">
        <f t="shared" si="21"/>
        <v/>
      </c>
      <c r="V46" s="18" t="str">
        <f t="shared" si="21"/>
        <v/>
      </c>
      <c r="W46" s="18" t="str">
        <f t="shared" si="21"/>
        <v/>
      </c>
      <c r="X46" s="18" t="str">
        <f t="shared" si="21"/>
        <v/>
      </c>
      <c r="Y46" s="18" t="str">
        <f t="shared" si="21"/>
        <v/>
      </c>
      <c r="Z46" s="18" t="str">
        <f t="shared" si="21"/>
        <v/>
      </c>
      <c r="AA46" s="18" t="str">
        <f t="shared" ref="AA46:AJ55" si="22">IF(AND(AA$5&gt;=$E46,AA$5&lt;=$F46),"■","")</f>
        <v/>
      </c>
      <c r="AB46" s="18" t="str">
        <f t="shared" si="22"/>
        <v/>
      </c>
      <c r="AC46" s="18" t="str">
        <f t="shared" si="22"/>
        <v>■</v>
      </c>
      <c r="AD46" s="18" t="str">
        <f t="shared" si="22"/>
        <v>■</v>
      </c>
      <c r="AE46" s="18" t="str">
        <f t="shared" si="22"/>
        <v>■</v>
      </c>
      <c r="AF46" s="18" t="str">
        <f t="shared" si="22"/>
        <v/>
      </c>
      <c r="AG46" s="18" t="str">
        <f t="shared" si="22"/>
        <v/>
      </c>
      <c r="AH46" s="18" t="str">
        <f t="shared" si="22"/>
        <v/>
      </c>
      <c r="AI46" s="18" t="str">
        <f t="shared" si="22"/>
        <v/>
      </c>
      <c r="AJ46" s="18" t="str">
        <f t="shared" si="22"/>
        <v/>
      </c>
      <c r="AK46" s="19" t="str">
        <f t="shared" ref="AK46:AT55" si="23">IF(AND(AK$5&gt;=$E46,AK$5&lt;=$F46),"■","")</f>
        <v/>
      </c>
      <c r="AL46" s="19" t="str">
        <f t="shared" si="23"/>
        <v/>
      </c>
      <c r="AM46" s="19" t="str">
        <f t="shared" si="23"/>
        <v/>
      </c>
      <c r="AN46" s="19" t="str">
        <f t="shared" si="23"/>
        <v/>
      </c>
      <c r="AO46" s="19" t="str">
        <f t="shared" si="23"/>
        <v/>
      </c>
      <c r="AP46" s="19" t="str">
        <f t="shared" si="23"/>
        <v/>
      </c>
      <c r="AQ46" s="19" t="str">
        <f t="shared" si="23"/>
        <v/>
      </c>
      <c r="AR46" s="19" t="str">
        <f t="shared" si="23"/>
        <v/>
      </c>
      <c r="AS46" s="19" t="str">
        <f t="shared" si="23"/>
        <v/>
      </c>
      <c r="AT46" s="19" t="str">
        <f t="shared" si="23"/>
        <v/>
      </c>
      <c r="AU46" s="19" t="str">
        <f t="shared" ref="AU46:BD55" si="24">IF(AND(AU$5&gt;=$E46,AU$5&lt;=$F46),"■","")</f>
        <v/>
      </c>
      <c r="AV46" s="19" t="str">
        <f t="shared" si="24"/>
        <v/>
      </c>
      <c r="AW46" s="19" t="str">
        <f t="shared" si="24"/>
        <v/>
      </c>
      <c r="AX46" s="19" t="str">
        <f t="shared" si="24"/>
        <v/>
      </c>
      <c r="AY46" s="19" t="str">
        <f t="shared" si="24"/>
        <v/>
      </c>
      <c r="AZ46" s="19" t="str">
        <f t="shared" si="24"/>
        <v/>
      </c>
      <c r="BA46" s="19" t="str">
        <f t="shared" si="24"/>
        <v/>
      </c>
      <c r="BB46" s="19" t="str">
        <f t="shared" si="24"/>
        <v/>
      </c>
      <c r="BC46" s="19" t="str">
        <f t="shared" si="24"/>
        <v/>
      </c>
      <c r="BD46" s="19" t="str">
        <f t="shared" si="24"/>
        <v/>
      </c>
    </row>
    <row r="47" spans="1:56" ht="24" customHeight="1">
      <c r="A47" s="11" t="str">
        <f>'01_KeHoach'!A47</f>
        <v>WBS-4.5</v>
      </c>
      <c r="B47" s="7" t="str">
        <f>'01_KeHoach'!C47</f>
        <v>W5</v>
      </c>
      <c r="C47" s="7" t="str">
        <f>'01_KeHoach'!B47</f>
        <v>Dựng Lab &amp; Baseline</v>
      </c>
      <c r="D47" s="7" t="str">
        <f>'01_KeHoach'!D47</f>
        <v>Seed dữ liệu ảo và manifest checksum</v>
      </c>
      <c r="E47" s="15">
        <f>'01_KeHoach'!G47</f>
        <v>46289</v>
      </c>
      <c r="F47" s="15">
        <f>'01_KeHoach'!H47</f>
        <v>46290</v>
      </c>
      <c r="G47" s="18" t="str">
        <f t="shared" si="20"/>
        <v/>
      </c>
      <c r="H47" s="18" t="str">
        <f t="shared" si="20"/>
        <v/>
      </c>
      <c r="I47" s="18" t="str">
        <f t="shared" si="20"/>
        <v/>
      </c>
      <c r="J47" s="18" t="str">
        <f t="shared" si="20"/>
        <v/>
      </c>
      <c r="K47" s="18" t="str">
        <f t="shared" si="20"/>
        <v/>
      </c>
      <c r="L47" s="18" t="str">
        <f t="shared" si="20"/>
        <v/>
      </c>
      <c r="M47" s="18" t="str">
        <f t="shared" si="20"/>
        <v/>
      </c>
      <c r="N47" s="18" t="str">
        <f t="shared" si="20"/>
        <v/>
      </c>
      <c r="O47" s="18" t="str">
        <f t="shared" si="20"/>
        <v/>
      </c>
      <c r="P47" s="18" t="str">
        <f t="shared" si="20"/>
        <v/>
      </c>
      <c r="Q47" s="18" t="str">
        <f t="shared" si="21"/>
        <v/>
      </c>
      <c r="R47" s="18" t="str">
        <f t="shared" si="21"/>
        <v/>
      </c>
      <c r="S47" s="18" t="str">
        <f t="shared" si="21"/>
        <v/>
      </c>
      <c r="T47" s="18" t="str">
        <f t="shared" si="21"/>
        <v/>
      </c>
      <c r="U47" s="18" t="str">
        <f t="shared" si="21"/>
        <v/>
      </c>
      <c r="V47" s="18" t="str">
        <f t="shared" si="21"/>
        <v/>
      </c>
      <c r="W47" s="18" t="str">
        <f t="shared" si="21"/>
        <v/>
      </c>
      <c r="X47" s="18" t="str">
        <f t="shared" si="21"/>
        <v/>
      </c>
      <c r="Y47" s="18" t="str">
        <f t="shared" si="21"/>
        <v/>
      </c>
      <c r="Z47" s="18" t="str">
        <f t="shared" si="21"/>
        <v/>
      </c>
      <c r="AA47" s="18" t="str">
        <f t="shared" si="22"/>
        <v/>
      </c>
      <c r="AB47" s="18" t="str">
        <f t="shared" si="22"/>
        <v/>
      </c>
      <c r="AC47" s="18" t="str">
        <f t="shared" si="22"/>
        <v/>
      </c>
      <c r="AD47" s="18" t="str">
        <f t="shared" si="22"/>
        <v>■</v>
      </c>
      <c r="AE47" s="18" t="str">
        <f t="shared" si="22"/>
        <v>■</v>
      </c>
      <c r="AF47" s="18" t="str">
        <f t="shared" si="22"/>
        <v/>
      </c>
      <c r="AG47" s="18" t="str">
        <f t="shared" si="22"/>
        <v/>
      </c>
      <c r="AH47" s="18" t="str">
        <f t="shared" si="22"/>
        <v/>
      </c>
      <c r="AI47" s="18" t="str">
        <f t="shared" si="22"/>
        <v/>
      </c>
      <c r="AJ47" s="18" t="str">
        <f t="shared" si="22"/>
        <v/>
      </c>
      <c r="AK47" s="19" t="str">
        <f t="shared" si="23"/>
        <v/>
      </c>
      <c r="AL47" s="19" t="str">
        <f t="shared" si="23"/>
        <v/>
      </c>
      <c r="AM47" s="19" t="str">
        <f t="shared" si="23"/>
        <v/>
      </c>
      <c r="AN47" s="19" t="str">
        <f t="shared" si="23"/>
        <v/>
      </c>
      <c r="AO47" s="19" t="str">
        <f t="shared" si="23"/>
        <v/>
      </c>
      <c r="AP47" s="19" t="str">
        <f t="shared" si="23"/>
        <v/>
      </c>
      <c r="AQ47" s="19" t="str">
        <f t="shared" si="23"/>
        <v/>
      </c>
      <c r="AR47" s="19" t="str">
        <f t="shared" si="23"/>
        <v/>
      </c>
      <c r="AS47" s="19" t="str">
        <f t="shared" si="23"/>
        <v/>
      </c>
      <c r="AT47" s="19" t="str">
        <f t="shared" si="23"/>
        <v/>
      </c>
      <c r="AU47" s="19" t="str">
        <f t="shared" si="24"/>
        <v/>
      </c>
      <c r="AV47" s="19" t="str">
        <f t="shared" si="24"/>
        <v/>
      </c>
      <c r="AW47" s="19" t="str">
        <f t="shared" si="24"/>
        <v/>
      </c>
      <c r="AX47" s="19" t="str">
        <f t="shared" si="24"/>
        <v/>
      </c>
      <c r="AY47" s="19" t="str">
        <f t="shared" si="24"/>
        <v/>
      </c>
      <c r="AZ47" s="19" t="str">
        <f t="shared" si="24"/>
        <v/>
      </c>
      <c r="BA47" s="19" t="str">
        <f t="shared" si="24"/>
        <v/>
      </c>
      <c r="BB47" s="19" t="str">
        <f t="shared" si="24"/>
        <v/>
      </c>
      <c r="BC47" s="19" t="str">
        <f t="shared" si="24"/>
        <v/>
      </c>
      <c r="BD47" s="19" t="str">
        <f t="shared" si="24"/>
        <v/>
      </c>
    </row>
    <row r="48" spans="1:56" ht="24" customHeight="1">
      <c r="A48" s="11" t="str">
        <f>'01_KeHoach'!A48</f>
        <v>WBS-4.6</v>
      </c>
      <c r="B48" s="7" t="str">
        <f>'01_KeHoach'!C48</f>
        <v>W6</v>
      </c>
      <c r="C48" s="7" t="str">
        <f>'01_KeHoach'!B48</f>
        <v>Dựng Lab &amp; Baseline</v>
      </c>
      <c r="D48" s="7" t="str">
        <f>'01_KeHoach'!D48</f>
        <v>Chạy IO Sentinel và workload baseline</v>
      </c>
      <c r="E48" s="15">
        <f>'01_KeHoach'!G48</f>
        <v>46293</v>
      </c>
      <c r="F48" s="15">
        <f>'01_KeHoach'!H48</f>
        <v>46295</v>
      </c>
      <c r="G48" s="18" t="str">
        <f t="shared" si="20"/>
        <v/>
      </c>
      <c r="H48" s="18" t="str">
        <f t="shared" si="20"/>
        <v/>
      </c>
      <c r="I48" s="18" t="str">
        <f t="shared" si="20"/>
        <v/>
      </c>
      <c r="J48" s="18" t="str">
        <f t="shared" si="20"/>
        <v/>
      </c>
      <c r="K48" s="18" t="str">
        <f t="shared" si="20"/>
        <v/>
      </c>
      <c r="L48" s="18" t="str">
        <f t="shared" si="20"/>
        <v/>
      </c>
      <c r="M48" s="18" t="str">
        <f t="shared" si="20"/>
        <v/>
      </c>
      <c r="N48" s="18" t="str">
        <f t="shared" si="20"/>
        <v/>
      </c>
      <c r="O48" s="18" t="str">
        <f t="shared" si="20"/>
        <v/>
      </c>
      <c r="P48" s="18" t="str">
        <f t="shared" si="20"/>
        <v/>
      </c>
      <c r="Q48" s="18" t="str">
        <f t="shared" si="21"/>
        <v/>
      </c>
      <c r="R48" s="18" t="str">
        <f t="shared" si="21"/>
        <v/>
      </c>
      <c r="S48" s="18" t="str">
        <f t="shared" si="21"/>
        <v/>
      </c>
      <c r="T48" s="18" t="str">
        <f t="shared" si="21"/>
        <v/>
      </c>
      <c r="U48" s="18" t="str">
        <f t="shared" si="21"/>
        <v/>
      </c>
      <c r="V48" s="18" t="str">
        <f t="shared" si="21"/>
        <v/>
      </c>
      <c r="W48" s="18" t="str">
        <f t="shared" si="21"/>
        <v/>
      </c>
      <c r="X48" s="18" t="str">
        <f t="shared" si="21"/>
        <v/>
      </c>
      <c r="Y48" s="18" t="str">
        <f t="shared" si="21"/>
        <v/>
      </c>
      <c r="Z48" s="18" t="str">
        <f t="shared" si="21"/>
        <v/>
      </c>
      <c r="AA48" s="18" t="str">
        <f t="shared" si="22"/>
        <v/>
      </c>
      <c r="AB48" s="18" t="str">
        <f t="shared" si="22"/>
        <v/>
      </c>
      <c r="AC48" s="18" t="str">
        <f t="shared" si="22"/>
        <v/>
      </c>
      <c r="AD48" s="18" t="str">
        <f t="shared" si="22"/>
        <v/>
      </c>
      <c r="AE48" s="18" t="str">
        <f t="shared" si="22"/>
        <v/>
      </c>
      <c r="AF48" s="18" t="str">
        <f t="shared" si="22"/>
        <v>■</v>
      </c>
      <c r="AG48" s="18" t="str">
        <f t="shared" si="22"/>
        <v>■</v>
      </c>
      <c r="AH48" s="18" t="str">
        <f t="shared" si="22"/>
        <v>■</v>
      </c>
      <c r="AI48" s="18" t="str">
        <f t="shared" si="22"/>
        <v/>
      </c>
      <c r="AJ48" s="18" t="str">
        <f t="shared" si="22"/>
        <v/>
      </c>
      <c r="AK48" s="19" t="str">
        <f t="shared" si="23"/>
        <v/>
      </c>
      <c r="AL48" s="19" t="str">
        <f t="shared" si="23"/>
        <v/>
      </c>
      <c r="AM48" s="19" t="str">
        <f t="shared" si="23"/>
        <v/>
      </c>
      <c r="AN48" s="19" t="str">
        <f t="shared" si="23"/>
        <v/>
      </c>
      <c r="AO48" s="19" t="str">
        <f t="shared" si="23"/>
        <v/>
      </c>
      <c r="AP48" s="19" t="str">
        <f t="shared" si="23"/>
        <v/>
      </c>
      <c r="AQ48" s="19" t="str">
        <f t="shared" si="23"/>
        <v/>
      </c>
      <c r="AR48" s="19" t="str">
        <f t="shared" si="23"/>
        <v/>
      </c>
      <c r="AS48" s="19" t="str">
        <f t="shared" si="23"/>
        <v/>
      </c>
      <c r="AT48" s="19" t="str">
        <f t="shared" si="23"/>
        <v/>
      </c>
      <c r="AU48" s="19" t="str">
        <f t="shared" si="24"/>
        <v/>
      </c>
      <c r="AV48" s="19" t="str">
        <f t="shared" si="24"/>
        <v/>
      </c>
      <c r="AW48" s="19" t="str">
        <f t="shared" si="24"/>
        <v/>
      </c>
      <c r="AX48" s="19" t="str">
        <f t="shared" si="24"/>
        <v/>
      </c>
      <c r="AY48" s="19" t="str">
        <f t="shared" si="24"/>
        <v/>
      </c>
      <c r="AZ48" s="19" t="str">
        <f t="shared" si="24"/>
        <v/>
      </c>
      <c r="BA48" s="19" t="str">
        <f t="shared" si="24"/>
        <v/>
      </c>
      <c r="BB48" s="19" t="str">
        <f t="shared" si="24"/>
        <v/>
      </c>
      <c r="BC48" s="19" t="str">
        <f t="shared" si="24"/>
        <v/>
      </c>
      <c r="BD48" s="19" t="str">
        <f t="shared" si="24"/>
        <v/>
      </c>
    </row>
    <row r="49" spans="1:56" ht="24" customHeight="1">
      <c r="A49" s="11" t="str">
        <f>'01_KeHoach'!A49</f>
        <v>WBS-4.7</v>
      </c>
      <c r="B49" s="7" t="str">
        <f>'01_KeHoach'!C49</f>
        <v>W6</v>
      </c>
      <c r="C49" s="7" t="str">
        <f>'01_KeHoach'!B49</f>
        <v>Dựng Lab &amp; Baseline</v>
      </c>
      <c r="D49" s="7" t="str">
        <f>'01_KeHoach'!D49</f>
        <v>Chốt KPI baseline và ngưỡng regression</v>
      </c>
      <c r="E49" s="15">
        <f>'01_KeHoach'!G49</f>
        <v>46295</v>
      </c>
      <c r="F49" s="15">
        <f>'01_KeHoach'!H49</f>
        <v>46296</v>
      </c>
      <c r="G49" s="18" t="str">
        <f t="shared" si="20"/>
        <v/>
      </c>
      <c r="H49" s="18" t="str">
        <f t="shared" si="20"/>
        <v/>
      </c>
      <c r="I49" s="18" t="str">
        <f t="shared" si="20"/>
        <v/>
      </c>
      <c r="J49" s="18" t="str">
        <f t="shared" si="20"/>
        <v/>
      </c>
      <c r="K49" s="18" t="str">
        <f t="shared" si="20"/>
        <v/>
      </c>
      <c r="L49" s="18" t="str">
        <f t="shared" si="20"/>
        <v/>
      </c>
      <c r="M49" s="18" t="str">
        <f t="shared" si="20"/>
        <v/>
      </c>
      <c r="N49" s="18" t="str">
        <f t="shared" si="20"/>
        <v/>
      </c>
      <c r="O49" s="18" t="str">
        <f t="shared" si="20"/>
        <v/>
      </c>
      <c r="P49" s="18" t="str">
        <f t="shared" si="20"/>
        <v/>
      </c>
      <c r="Q49" s="18" t="str">
        <f t="shared" si="21"/>
        <v/>
      </c>
      <c r="R49" s="18" t="str">
        <f t="shared" si="21"/>
        <v/>
      </c>
      <c r="S49" s="18" t="str">
        <f t="shared" si="21"/>
        <v/>
      </c>
      <c r="T49" s="18" t="str">
        <f t="shared" si="21"/>
        <v/>
      </c>
      <c r="U49" s="18" t="str">
        <f t="shared" si="21"/>
        <v/>
      </c>
      <c r="V49" s="18" t="str">
        <f t="shared" si="21"/>
        <v/>
      </c>
      <c r="W49" s="18" t="str">
        <f t="shared" si="21"/>
        <v/>
      </c>
      <c r="X49" s="18" t="str">
        <f t="shared" si="21"/>
        <v/>
      </c>
      <c r="Y49" s="18" t="str">
        <f t="shared" si="21"/>
        <v/>
      </c>
      <c r="Z49" s="18" t="str">
        <f t="shared" si="21"/>
        <v/>
      </c>
      <c r="AA49" s="18" t="str">
        <f t="shared" si="22"/>
        <v/>
      </c>
      <c r="AB49" s="18" t="str">
        <f t="shared" si="22"/>
        <v/>
      </c>
      <c r="AC49" s="18" t="str">
        <f t="shared" si="22"/>
        <v/>
      </c>
      <c r="AD49" s="18" t="str">
        <f t="shared" si="22"/>
        <v/>
      </c>
      <c r="AE49" s="18" t="str">
        <f t="shared" si="22"/>
        <v/>
      </c>
      <c r="AF49" s="18" t="str">
        <f t="shared" si="22"/>
        <v/>
      </c>
      <c r="AG49" s="18" t="str">
        <f t="shared" si="22"/>
        <v/>
      </c>
      <c r="AH49" s="18" t="str">
        <f t="shared" si="22"/>
        <v>■</v>
      </c>
      <c r="AI49" s="18" t="str">
        <f t="shared" si="22"/>
        <v>■</v>
      </c>
      <c r="AJ49" s="18" t="str">
        <f t="shared" si="22"/>
        <v/>
      </c>
      <c r="AK49" s="19" t="str">
        <f t="shared" si="23"/>
        <v/>
      </c>
      <c r="AL49" s="19" t="str">
        <f t="shared" si="23"/>
        <v/>
      </c>
      <c r="AM49" s="19" t="str">
        <f t="shared" si="23"/>
        <v/>
      </c>
      <c r="AN49" s="19" t="str">
        <f t="shared" si="23"/>
        <v/>
      </c>
      <c r="AO49" s="19" t="str">
        <f t="shared" si="23"/>
        <v/>
      </c>
      <c r="AP49" s="19" t="str">
        <f t="shared" si="23"/>
        <v/>
      </c>
      <c r="AQ49" s="19" t="str">
        <f t="shared" si="23"/>
        <v/>
      </c>
      <c r="AR49" s="19" t="str">
        <f t="shared" si="23"/>
        <v/>
      </c>
      <c r="AS49" s="19" t="str">
        <f t="shared" si="23"/>
        <v/>
      </c>
      <c r="AT49" s="19" t="str">
        <f t="shared" si="23"/>
        <v/>
      </c>
      <c r="AU49" s="19" t="str">
        <f t="shared" si="24"/>
        <v/>
      </c>
      <c r="AV49" s="19" t="str">
        <f t="shared" si="24"/>
        <v/>
      </c>
      <c r="AW49" s="19" t="str">
        <f t="shared" si="24"/>
        <v/>
      </c>
      <c r="AX49" s="19" t="str">
        <f t="shared" si="24"/>
        <v/>
      </c>
      <c r="AY49" s="19" t="str">
        <f t="shared" si="24"/>
        <v/>
      </c>
      <c r="AZ49" s="19" t="str">
        <f t="shared" si="24"/>
        <v/>
      </c>
      <c r="BA49" s="19" t="str">
        <f t="shared" si="24"/>
        <v/>
      </c>
      <c r="BB49" s="19" t="str">
        <f t="shared" si="24"/>
        <v/>
      </c>
      <c r="BC49" s="19" t="str">
        <f t="shared" si="24"/>
        <v/>
      </c>
      <c r="BD49" s="19" t="str">
        <f t="shared" si="24"/>
        <v/>
      </c>
    </row>
    <row r="50" spans="1:56" ht="24" customHeight="1">
      <c r="A50" s="11" t="str">
        <f>'01_KeHoach'!A50</f>
        <v>WBS-4.8</v>
      </c>
      <c r="B50" s="7" t="str">
        <f>'01_KeHoach'!C50</f>
        <v>W6</v>
      </c>
      <c r="C50" s="7" t="str">
        <f>'01_KeHoach'!B50</f>
        <v>Dựng Lab &amp; Baseline</v>
      </c>
      <c r="D50" s="7" t="str">
        <f>'01_KeHoach'!D50</f>
        <v>Dry-run backup và restore mẫu</v>
      </c>
      <c r="E50" s="15">
        <f>'01_KeHoach'!G50</f>
        <v>46294</v>
      </c>
      <c r="F50" s="15">
        <f>'01_KeHoach'!H50</f>
        <v>46296</v>
      </c>
      <c r="G50" s="18" t="str">
        <f t="shared" si="20"/>
        <v/>
      </c>
      <c r="H50" s="18" t="str">
        <f t="shared" si="20"/>
        <v/>
      </c>
      <c r="I50" s="18" t="str">
        <f t="shared" si="20"/>
        <v/>
      </c>
      <c r="J50" s="18" t="str">
        <f t="shared" si="20"/>
        <v/>
      </c>
      <c r="K50" s="18" t="str">
        <f t="shared" si="20"/>
        <v/>
      </c>
      <c r="L50" s="18" t="str">
        <f t="shared" si="20"/>
        <v/>
      </c>
      <c r="M50" s="18" t="str">
        <f t="shared" si="20"/>
        <v/>
      </c>
      <c r="N50" s="18" t="str">
        <f t="shared" si="20"/>
        <v/>
      </c>
      <c r="O50" s="18" t="str">
        <f t="shared" si="20"/>
        <v/>
      </c>
      <c r="P50" s="18" t="str">
        <f t="shared" si="20"/>
        <v/>
      </c>
      <c r="Q50" s="18" t="str">
        <f t="shared" si="21"/>
        <v/>
      </c>
      <c r="R50" s="18" t="str">
        <f t="shared" si="21"/>
        <v/>
      </c>
      <c r="S50" s="18" t="str">
        <f t="shared" si="21"/>
        <v/>
      </c>
      <c r="T50" s="18" t="str">
        <f t="shared" si="21"/>
        <v/>
      </c>
      <c r="U50" s="18" t="str">
        <f t="shared" si="21"/>
        <v/>
      </c>
      <c r="V50" s="18" t="str">
        <f t="shared" si="21"/>
        <v/>
      </c>
      <c r="W50" s="18" t="str">
        <f t="shared" si="21"/>
        <v/>
      </c>
      <c r="X50" s="18" t="str">
        <f t="shared" si="21"/>
        <v/>
      </c>
      <c r="Y50" s="18" t="str">
        <f t="shared" si="21"/>
        <v/>
      </c>
      <c r="Z50" s="18" t="str">
        <f t="shared" si="21"/>
        <v/>
      </c>
      <c r="AA50" s="18" t="str">
        <f t="shared" si="22"/>
        <v/>
      </c>
      <c r="AB50" s="18" t="str">
        <f t="shared" si="22"/>
        <v/>
      </c>
      <c r="AC50" s="18" t="str">
        <f t="shared" si="22"/>
        <v/>
      </c>
      <c r="AD50" s="18" t="str">
        <f t="shared" si="22"/>
        <v/>
      </c>
      <c r="AE50" s="18" t="str">
        <f t="shared" si="22"/>
        <v/>
      </c>
      <c r="AF50" s="18" t="str">
        <f t="shared" si="22"/>
        <v/>
      </c>
      <c r="AG50" s="18" t="str">
        <f t="shared" si="22"/>
        <v>■</v>
      </c>
      <c r="AH50" s="18" t="str">
        <f t="shared" si="22"/>
        <v>■</v>
      </c>
      <c r="AI50" s="18" t="str">
        <f t="shared" si="22"/>
        <v>■</v>
      </c>
      <c r="AJ50" s="18" t="str">
        <f t="shared" si="22"/>
        <v/>
      </c>
      <c r="AK50" s="19" t="str">
        <f t="shared" si="23"/>
        <v/>
      </c>
      <c r="AL50" s="19" t="str">
        <f t="shared" si="23"/>
        <v/>
      </c>
      <c r="AM50" s="19" t="str">
        <f t="shared" si="23"/>
        <v/>
      </c>
      <c r="AN50" s="19" t="str">
        <f t="shared" si="23"/>
        <v/>
      </c>
      <c r="AO50" s="19" t="str">
        <f t="shared" si="23"/>
        <v/>
      </c>
      <c r="AP50" s="19" t="str">
        <f t="shared" si="23"/>
        <v/>
      </c>
      <c r="AQ50" s="19" t="str">
        <f t="shared" si="23"/>
        <v/>
      </c>
      <c r="AR50" s="19" t="str">
        <f t="shared" si="23"/>
        <v/>
      </c>
      <c r="AS50" s="19" t="str">
        <f t="shared" si="23"/>
        <v/>
      </c>
      <c r="AT50" s="19" t="str">
        <f t="shared" si="23"/>
        <v/>
      </c>
      <c r="AU50" s="19" t="str">
        <f t="shared" si="24"/>
        <v/>
      </c>
      <c r="AV50" s="19" t="str">
        <f t="shared" si="24"/>
        <v/>
      </c>
      <c r="AW50" s="19" t="str">
        <f t="shared" si="24"/>
        <v/>
      </c>
      <c r="AX50" s="19" t="str">
        <f t="shared" si="24"/>
        <v/>
      </c>
      <c r="AY50" s="19" t="str">
        <f t="shared" si="24"/>
        <v/>
      </c>
      <c r="AZ50" s="19" t="str">
        <f t="shared" si="24"/>
        <v/>
      </c>
      <c r="BA50" s="19" t="str">
        <f t="shared" si="24"/>
        <v/>
      </c>
      <c r="BB50" s="19" t="str">
        <f t="shared" si="24"/>
        <v/>
      </c>
      <c r="BC50" s="19" t="str">
        <f t="shared" si="24"/>
        <v/>
      </c>
      <c r="BD50" s="19" t="str">
        <f t="shared" si="24"/>
        <v/>
      </c>
    </row>
    <row r="51" spans="1:56" ht="24" customHeight="1">
      <c r="A51" s="11" t="str">
        <f>'01_KeHoach'!A51</f>
        <v>WBS-4.9</v>
      </c>
      <c r="B51" s="7" t="str">
        <f>'01_KeHoach'!C51</f>
        <v>W6</v>
      </c>
      <c r="C51" s="7" t="str">
        <f>'01_KeHoach'!B51</f>
        <v>Dựng Lab &amp; Baseline</v>
      </c>
      <c r="D51" s="7" t="str">
        <f>'01_KeHoach'!D51</f>
        <v>Dry-run runbook và toàn bộ checklist v0.1</v>
      </c>
      <c r="E51" s="15">
        <f>'01_KeHoach'!G51</f>
        <v>46296</v>
      </c>
      <c r="F51" s="15">
        <f>'01_KeHoach'!H51</f>
        <v>46297</v>
      </c>
      <c r="G51" s="18" t="str">
        <f t="shared" si="20"/>
        <v/>
      </c>
      <c r="H51" s="18" t="str">
        <f t="shared" si="20"/>
        <v/>
      </c>
      <c r="I51" s="18" t="str">
        <f t="shared" si="20"/>
        <v/>
      </c>
      <c r="J51" s="18" t="str">
        <f t="shared" si="20"/>
        <v/>
      </c>
      <c r="K51" s="18" t="str">
        <f t="shared" si="20"/>
        <v/>
      </c>
      <c r="L51" s="18" t="str">
        <f t="shared" si="20"/>
        <v/>
      </c>
      <c r="M51" s="18" t="str">
        <f t="shared" si="20"/>
        <v/>
      </c>
      <c r="N51" s="18" t="str">
        <f t="shared" si="20"/>
        <v/>
      </c>
      <c r="O51" s="18" t="str">
        <f t="shared" si="20"/>
        <v/>
      </c>
      <c r="P51" s="18" t="str">
        <f t="shared" si="20"/>
        <v/>
      </c>
      <c r="Q51" s="18" t="str">
        <f t="shared" si="21"/>
        <v/>
      </c>
      <c r="R51" s="18" t="str">
        <f t="shared" si="21"/>
        <v/>
      </c>
      <c r="S51" s="18" t="str">
        <f t="shared" si="21"/>
        <v/>
      </c>
      <c r="T51" s="18" t="str">
        <f t="shared" si="21"/>
        <v/>
      </c>
      <c r="U51" s="18" t="str">
        <f t="shared" si="21"/>
        <v/>
      </c>
      <c r="V51" s="18" t="str">
        <f t="shared" si="21"/>
        <v/>
      </c>
      <c r="W51" s="18" t="str">
        <f t="shared" si="21"/>
        <v/>
      </c>
      <c r="X51" s="18" t="str">
        <f t="shared" si="21"/>
        <v/>
      </c>
      <c r="Y51" s="18" t="str">
        <f t="shared" si="21"/>
        <v/>
      </c>
      <c r="Z51" s="18" t="str">
        <f t="shared" si="21"/>
        <v/>
      </c>
      <c r="AA51" s="18" t="str">
        <f t="shared" si="22"/>
        <v/>
      </c>
      <c r="AB51" s="18" t="str">
        <f t="shared" si="22"/>
        <v/>
      </c>
      <c r="AC51" s="18" t="str">
        <f t="shared" si="22"/>
        <v/>
      </c>
      <c r="AD51" s="18" t="str">
        <f t="shared" si="22"/>
        <v/>
      </c>
      <c r="AE51" s="18" t="str">
        <f t="shared" si="22"/>
        <v/>
      </c>
      <c r="AF51" s="18" t="str">
        <f t="shared" si="22"/>
        <v/>
      </c>
      <c r="AG51" s="18" t="str">
        <f t="shared" si="22"/>
        <v/>
      </c>
      <c r="AH51" s="18" t="str">
        <f t="shared" si="22"/>
        <v/>
      </c>
      <c r="AI51" s="18" t="str">
        <f t="shared" si="22"/>
        <v>■</v>
      </c>
      <c r="AJ51" s="18" t="str">
        <f t="shared" si="22"/>
        <v>■</v>
      </c>
      <c r="AK51" s="19" t="str">
        <f t="shared" si="23"/>
        <v/>
      </c>
      <c r="AL51" s="19" t="str">
        <f t="shared" si="23"/>
        <v/>
      </c>
      <c r="AM51" s="19" t="str">
        <f t="shared" si="23"/>
        <v/>
      </c>
      <c r="AN51" s="19" t="str">
        <f t="shared" si="23"/>
        <v/>
      </c>
      <c r="AO51" s="19" t="str">
        <f t="shared" si="23"/>
        <v/>
      </c>
      <c r="AP51" s="19" t="str">
        <f t="shared" si="23"/>
        <v/>
      </c>
      <c r="AQ51" s="19" t="str">
        <f t="shared" si="23"/>
        <v/>
      </c>
      <c r="AR51" s="19" t="str">
        <f t="shared" si="23"/>
        <v/>
      </c>
      <c r="AS51" s="19" t="str">
        <f t="shared" si="23"/>
        <v/>
      </c>
      <c r="AT51" s="19" t="str">
        <f t="shared" si="23"/>
        <v/>
      </c>
      <c r="AU51" s="19" t="str">
        <f t="shared" si="24"/>
        <v/>
      </c>
      <c r="AV51" s="19" t="str">
        <f t="shared" si="24"/>
        <v/>
      </c>
      <c r="AW51" s="19" t="str">
        <f t="shared" si="24"/>
        <v/>
      </c>
      <c r="AX51" s="19" t="str">
        <f t="shared" si="24"/>
        <v/>
      </c>
      <c r="AY51" s="19" t="str">
        <f t="shared" si="24"/>
        <v/>
      </c>
      <c r="AZ51" s="19" t="str">
        <f t="shared" si="24"/>
        <v/>
      </c>
      <c r="BA51" s="19" t="str">
        <f t="shared" si="24"/>
        <v/>
      </c>
      <c r="BB51" s="19" t="str">
        <f t="shared" si="24"/>
        <v/>
      </c>
      <c r="BC51" s="19" t="str">
        <f t="shared" si="24"/>
        <v/>
      </c>
      <c r="BD51" s="19" t="str">
        <f t="shared" si="24"/>
        <v/>
      </c>
    </row>
    <row r="52" spans="1:56" ht="24" customHeight="1">
      <c r="A52" s="11" t="str">
        <f>'01_KeHoach'!A52</f>
        <v>WBS-4.10</v>
      </c>
      <c r="B52" s="7" t="str">
        <f>'01_KeHoach'!C52</f>
        <v>W6</v>
      </c>
      <c r="C52" s="7" t="str">
        <f>'01_KeHoach'!B52</f>
        <v>Dựng Lab &amp; Baseline</v>
      </c>
      <c r="D52" s="7" t="str">
        <f>'01_KeHoach'!D52</f>
        <v>Lab Readiness &amp; Equivalence Review</v>
      </c>
      <c r="E52" s="15">
        <f>'01_KeHoach'!G52</f>
        <v>46297</v>
      </c>
      <c r="F52" s="15">
        <f>'01_KeHoach'!H52</f>
        <v>46297</v>
      </c>
      <c r="G52" s="18" t="str">
        <f t="shared" si="20"/>
        <v/>
      </c>
      <c r="H52" s="18" t="str">
        <f t="shared" si="20"/>
        <v/>
      </c>
      <c r="I52" s="18" t="str">
        <f t="shared" si="20"/>
        <v/>
      </c>
      <c r="J52" s="18" t="str">
        <f t="shared" si="20"/>
        <v/>
      </c>
      <c r="K52" s="18" t="str">
        <f t="shared" si="20"/>
        <v/>
      </c>
      <c r="L52" s="18" t="str">
        <f t="shared" si="20"/>
        <v/>
      </c>
      <c r="M52" s="18" t="str">
        <f t="shared" si="20"/>
        <v/>
      </c>
      <c r="N52" s="18" t="str">
        <f t="shared" si="20"/>
        <v/>
      </c>
      <c r="O52" s="18" t="str">
        <f t="shared" si="20"/>
        <v/>
      </c>
      <c r="P52" s="18" t="str">
        <f t="shared" si="20"/>
        <v/>
      </c>
      <c r="Q52" s="18" t="str">
        <f t="shared" si="21"/>
        <v/>
      </c>
      <c r="R52" s="18" t="str">
        <f t="shared" si="21"/>
        <v/>
      </c>
      <c r="S52" s="18" t="str">
        <f t="shared" si="21"/>
        <v/>
      </c>
      <c r="T52" s="18" t="str">
        <f t="shared" si="21"/>
        <v/>
      </c>
      <c r="U52" s="18" t="str">
        <f t="shared" si="21"/>
        <v/>
      </c>
      <c r="V52" s="18" t="str">
        <f t="shared" si="21"/>
        <v/>
      </c>
      <c r="W52" s="18" t="str">
        <f t="shared" si="21"/>
        <v/>
      </c>
      <c r="X52" s="18" t="str">
        <f t="shared" si="21"/>
        <v/>
      </c>
      <c r="Y52" s="18" t="str">
        <f t="shared" si="21"/>
        <v/>
      </c>
      <c r="Z52" s="18" t="str">
        <f t="shared" si="21"/>
        <v/>
      </c>
      <c r="AA52" s="18" t="str">
        <f t="shared" si="22"/>
        <v/>
      </c>
      <c r="AB52" s="18" t="str">
        <f t="shared" si="22"/>
        <v/>
      </c>
      <c r="AC52" s="18" t="str">
        <f t="shared" si="22"/>
        <v/>
      </c>
      <c r="AD52" s="18" t="str">
        <f t="shared" si="22"/>
        <v/>
      </c>
      <c r="AE52" s="18" t="str">
        <f t="shared" si="22"/>
        <v/>
      </c>
      <c r="AF52" s="18" t="str">
        <f t="shared" si="22"/>
        <v/>
      </c>
      <c r="AG52" s="18" t="str">
        <f t="shared" si="22"/>
        <v/>
      </c>
      <c r="AH52" s="18" t="str">
        <f t="shared" si="22"/>
        <v/>
      </c>
      <c r="AI52" s="18" t="str">
        <f t="shared" si="22"/>
        <v/>
      </c>
      <c r="AJ52" s="18" t="str">
        <f t="shared" si="22"/>
        <v>■</v>
      </c>
      <c r="AK52" s="19" t="str">
        <f t="shared" si="23"/>
        <v/>
      </c>
      <c r="AL52" s="19" t="str">
        <f t="shared" si="23"/>
        <v/>
      </c>
      <c r="AM52" s="19" t="str">
        <f t="shared" si="23"/>
        <v/>
      </c>
      <c r="AN52" s="19" t="str">
        <f t="shared" si="23"/>
        <v/>
      </c>
      <c r="AO52" s="19" t="str">
        <f t="shared" si="23"/>
        <v/>
      </c>
      <c r="AP52" s="19" t="str">
        <f t="shared" si="23"/>
        <v/>
      </c>
      <c r="AQ52" s="19" t="str">
        <f t="shared" si="23"/>
        <v/>
      </c>
      <c r="AR52" s="19" t="str">
        <f t="shared" si="23"/>
        <v/>
      </c>
      <c r="AS52" s="19" t="str">
        <f t="shared" si="23"/>
        <v/>
      </c>
      <c r="AT52" s="19" t="str">
        <f t="shared" si="23"/>
        <v/>
      </c>
      <c r="AU52" s="19" t="str">
        <f t="shared" si="24"/>
        <v/>
      </c>
      <c r="AV52" s="19" t="str">
        <f t="shared" si="24"/>
        <v/>
      </c>
      <c r="AW52" s="19" t="str">
        <f t="shared" si="24"/>
        <v/>
      </c>
      <c r="AX52" s="19" t="str">
        <f t="shared" si="24"/>
        <v/>
      </c>
      <c r="AY52" s="19" t="str">
        <f t="shared" si="24"/>
        <v/>
      </c>
      <c r="AZ52" s="19" t="str">
        <f t="shared" si="24"/>
        <v/>
      </c>
      <c r="BA52" s="19" t="str">
        <f t="shared" si="24"/>
        <v/>
      </c>
      <c r="BB52" s="19" t="str">
        <f t="shared" si="24"/>
        <v/>
      </c>
      <c r="BC52" s="19" t="str">
        <f t="shared" si="24"/>
        <v/>
      </c>
      <c r="BD52" s="19" t="str">
        <f t="shared" si="24"/>
        <v/>
      </c>
    </row>
    <row r="53" spans="1:56" ht="24" customHeight="1">
      <c r="A53" s="11" t="str">
        <f>'01_KeHoach'!A53</f>
        <v>WBS-5.1</v>
      </c>
      <c r="B53" s="7" t="str">
        <f>'01_KeHoach'!C53</f>
        <v>W7</v>
      </c>
      <c r="C53" s="7" t="str">
        <f>'01_KeHoach'!B53</f>
        <v>Test từng hop</v>
      </c>
      <c r="D53" s="7" t="str">
        <f>'01_KeHoach'!D53</f>
        <v>Pre-check và backup checkpoint H1</v>
      </c>
      <c r="E53" s="15">
        <f>'01_KeHoach'!G53</f>
        <v>46300</v>
      </c>
      <c r="F53" s="15">
        <f>'01_KeHoach'!H53</f>
        <v>46300</v>
      </c>
      <c r="G53" s="18" t="str">
        <f t="shared" si="20"/>
        <v/>
      </c>
      <c r="H53" s="18" t="str">
        <f t="shared" si="20"/>
        <v/>
      </c>
      <c r="I53" s="18" t="str">
        <f t="shared" si="20"/>
        <v/>
      </c>
      <c r="J53" s="18" t="str">
        <f t="shared" si="20"/>
        <v/>
      </c>
      <c r="K53" s="18" t="str">
        <f t="shared" si="20"/>
        <v/>
      </c>
      <c r="L53" s="18" t="str">
        <f t="shared" si="20"/>
        <v/>
      </c>
      <c r="M53" s="18" t="str">
        <f t="shared" si="20"/>
        <v/>
      </c>
      <c r="N53" s="18" t="str">
        <f t="shared" si="20"/>
        <v/>
      </c>
      <c r="O53" s="18" t="str">
        <f t="shared" si="20"/>
        <v/>
      </c>
      <c r="P53" s="18" t="str">
        <f t="shared" si="20"/>
        <v/>
      </c>
      <c r="Q53" s="18" t="str">
        <f t="shared" si="21"/>
        <v/>
      </c>
      <c r="R53" s="18" t="str">
        <f t="shared" si="21"/>
        <v/>
      </c>
      <c r="S53" s="18" t="str">
        <f t="shared" si="21"/>
        <v/>
      </c>
      <c r="T53" s="18" t="str">
        <f t="shared" si="21"/>
        <v/>
      </c>
      <c r="U53" s="18" t="str">
        <f t="shared" si="21"/>
        <v/>
      </c>
      <c r="V53" s="18" t="str">
        <f t="shared" si="21"/>
        <v/>
      </c>
      <c r="W53" s="18" t="str">
        <f t="shared" si="21"/>
        <v/>
      </c>
      <c r="X53" s="18" t="str">
        <f t="shared" si="21"/>
        <v/>
      </c>
      <c r="Y53" s="18" t="str">
        <f t="shared" si="21"/>
        <v/>
      </c>
      <c r="Z53" s="18" t="str">
        <f t="shared" si="21"/>
        <v/>
      </c>
      <c r="AA53" s="18" t="str">
        <f t="shared" si="22"/>
        <v/>
      </c>
      <c r="AB53" s="18" t="str">
        <f t="shared" si="22"/>
        <v/>
      </c>
      <c r="AC53" s="18" t="str">
        <f t="shared" si="22"/>
        <v/>
      </c>
      <c r="AD53" s="18" t="str">
        <f t="shared" si="22"/>
        <v/>
      </c>
      <c r="AE53" s="18" t="str">
        <f t="shared" si="22"/>
        <v/>
      </c>
      <c r="AF53" s="18" t="str">
        <f t="shared" si="22"/>
        <v/>
      </c>
      <c r="AG53" s="18" t="str">
        <f t="shared" si="22"/>
        <v/>
      </c>
      <c r="AH53" s="18" t="str">
        <f t="shared" si="22"/>
        <v/>
      </c>
      <c r="AI53" s="18" t="str">
        <f t="shared" si="22"/>
        <v/>
      </c>
      <c r="AJ53" s="18" t="str">
        <f t="shared" si="22"/>
        <v/>
      </c>
      <c r="AK53" s="19" t="str">
        <f t="shared" si="23"/>
        <v>■</v>
      </c>
      <c r="AL53" s="19" t="str">
        <f t="shared" si="23"/>
        <v/>
      </c>
      <c r="AM53" s="19" t="str">
        <f t="shared" si="23"/>
        <v/>
      </c>
      <c r="AN53" s="19" t="str">
        <f t="shared" si="23"/>
        <v/>
      </c>
      <c r="AO53" s="19" t="str">
        <f t="shared" si="23"/>
        <v/>
      </c>
      <c r="AP53" s="19" t="str">
        <f t="shared" si="23"/>
        <v/>
      </c>
      <c r="AQ53" s="19" t="str">
        <f t="shared" si="23"/>
        <v/>
      </c>
      <c r="AR53" s="19" t="str">
        <f t="shared" si="23"/>
        <v/>
      </c>
      <c r="AS53" s="19" t="str">
        <f t="shared" si="23"/>
        <v/>
      </c>
      <c r="AT53" s="19" t="str">
        <f t="shared" si="23"/>
        <v/>
      </c>
      <c r="AU53" s="19" t="str">
        <f t="shared" si="24"/>
        <v/>
      </c>
      <c r="AV53" s="19" t="str">
        <f t="shared" si="24"/>
        <v/>
      </c>
      <c r="AW53" s="19" t="str">
        <f t="shared" si="24"/>
        <v/>
      </c>
      <c r="AX53" s="19" t="str">
        <f t="shared" si="24"/>
        <v/>
      </c>
      <c r="AY53" s="19" t="str">
        <f t="shared" si="24"/>
        <v/>
      </c>
      <c r="AZ53" s="19" t="str">
        <f t="shared" si="24"/>
        <v/>
      </c>
      <c r="BA53" s="19" t="str">
        <f t="shared" si="24"/>
        <v/>
      </c>
      <c r="BB53" s="19" t="str">
        <f t="shared" si="24"/>
        <v/>
      </c>
      <c r="BC53" s="19" t="str">
        <f t="shared" si="24"/>
        <v/>
      </c>
      <c r="BD53" s="19" t="str">
        <f t="shared" si="24"/>
        <v/>
      </c>
    </row>
    <row r="54" spans="1:56" ht="24" customHeight="1">
      <c r="A54" s="11" t="str">
        <f>'01_KeHoach'!A54</f>
        <v>WBS-5.2</v>
      </c>
      <c r="B54" s="7" t="str">
        <f>'01_KeHoach'!C54</f>
        <v>W7</v>
      </c>
      <c r="C54" s="7" t="str">
        <f>'01_KeHoach'!B54</f>
        <v>Test từng hop</v>
      </c>
      <c r="D54" s="7" t="str">
        <f>'01_KeHoach'!D54</f>
        <v>Rolling upgrade H1 dưới IO liên tục</v>
      </c>
      <c r="E54" s="15">
        <f>'01_KeHoach'!G54</f>
        <v>46301</v>
      </c>
      <c r="F54" s="15">
        <f>'01_KeHoach'!H54</f>
        <v>46301</v>
      </c>
      <c r="G54" s="18" t="str">
        <f t="shared" si="20"/>
        <v/>
      </c>
      <c r="H54" s="18" t="str">
        <f t="shared" si="20"/>
        <v/>
      </c>
      <c r="I54" s="18" t="str">
        <f t="shared" si="20"/>
        <v/>
      </c>
      <c r="J54" s="18" t="str">
        <f t="shared" si="20"/>
        <v/>
      </c>
      <c r="K54" s="18" t="str">
        <f t="shared" si="20"/>
        <v/>
      </c>
      <c r="L54" s="18" t="str">
        <f t="shared" si="20"/>
        <v/>
      </c>
      <c r="M54" s="18" t="str">
        <f t="shared" si="20"/>
        <v/>
      </c>
      <c r="N54" s="18" t="str">
        <f t="shared" si="20"/>
        <v/>
      </c>
      <c r="O54" s="18" t="str">
        <f t="shared" si="20"/>
        <v/>
      </c>
      <c r="P54" s="18" t="str">
        <f t="shared" si="20"/>
        <v/>
      </c>
      <c r="Q54" s="18" t="str">
        <f t="shared" si="21"/>
        <v/>
      </c>
      <c r="R54" s="18" t="str">
        <f t="shared" si="21"/>
        <v/>
      </c>
      <c r="S54" s="18" t="str">
        <f t="shared" si="21"/>
        <v/>
      </c>
      <c r="T54" s="18" t="str">
        <f t="shared" si="21"/>
        <v/>
      </c>
      <c r="U54" s="18" t="str">
        <f t="shared" si="21"/>
        <v/>
      </c>
      <c r="V54" s="18" t="str">
        <f t="shared" si="21"/>
        <v/>
      </c>
      <c r="W54" s="18" t="str">
        <f t="shared" si="21"/>
        <v/>
      </c>
      <c r="X54" s="18" t="str">
        <f t="shared" si="21"/>
        <v/>
      </c>
      <c r="Y54" s="18" t="str">
        <f t="shared" si="21"/>
        <v/>
      </c>
      <c r="Z54" s="18" t="str">
        <f t="shared" si="21"/>
        <v/>
      </c>
      <c r="AA54" s="18" t="str">
        <f t="shared" si="22"/>
        <v/>
      </c>
      <c r="AB54" s="18" t="str">
        <f t="shared" si="22"/>
        <v/>
      </c>
      <c r="AC54" s="18" t="str">
        <f t="shared" si="22"/>
        <v/>
      </c>
      <c r="AD54" s="18" t="str">
        <f t="shared" si="22"/>
        <v/>
      </c>
      <c r="AE54" s="18" t="str">
        <f t="shared" si="22"/>
        <v/>
      </c>
      <c r="AF54" s="18" t="str">
        <f t="shared" si="22"/>
        <v/>
      </c>
      <c r="AG54" s="18" t="str">
        <f t="shared" si="22"/>
        <v/>
      </c>
      <c r="AH54" s="18" t="str">
        <f t="shared" si="22"/>
        <v/>
      </c>
      <c r="AI54" s="18" t="str">
        <f t="shared" si="22"/>
        <v/>
      </c>
      <c r="AJ54" s="18" t="str">
        <f t="shared" si="22"/>
        <v/>
      </c>
      <c r="AK54" s="19" t="str">
        <f t="shared" si="23"/>
        <v/>
      </c>
      <c r="AL54" s="19" t="str">
        <f t="shared" si="23"/>
        <v>■</v>
      </c>
      <c r="AM54" s="19" t="str">
        <f t="shared" si="23"/>
        <v/>
      </c>
      <c r="AN54" s="19" t="str">
        <f t="shared" si="23"/>
        <v/>
      </c>
      <c r="AO54" s="19" t="str">
        <f t="shared" si="23"/>
        <v/>
      </c>
      <c r="AP54" s="19" t="str">
        <f t="shared" si="23"/>
        <v/>
      </c>
      <c r="AQ54" s="19" t="str">
        <f t="shared" si="23"/>
        <v/>
      </c>
      <c r="AR54" s="19" t="str">
        <f t="shared" si="23"/>
        <v/>
      </c>
      <c r="AS54" s="19" t="str">
        <f t="shared" si="23"/>
        <v/>
      </c>
      <c r="AT54" s="19" t="str">
        <f t="shared" si="23"/>
        <v/>
      </c>
      <c r="AU54" s="19" t="str">
        <f t="shared" si="24"/>
        <v/>
      </c>
      <c r="AV54" s="19" t="str">
        <f t="shared" si="24"/>
        <v/>
      </c>
      <c r="AW54" s="19" t="str">
        <f t="shared" si="24"/>
        <v/>
      </c>
      <c r="AX54" s="19" t="str">
        <f t="shared" si="24"/>
        <v/>
      </c>
      <c r="AY54" s="19" t="str">
        <f t="shared" si="24"/>
        <v/>
      </c>
      <c r="AZ54" s="19" t="str">
        <f t="shared" si="24"/>
        <v/>
      </c>
      <c r="BA54" s="19" t="str">
        <f t="shared" si="24"/>
        <v/>
      </c>
      <c r="BB54" s="19" t="str">
        <f t="shared" si="24"/>
        <v/>
      </c>
      <c r="BC54" s="19" t="str">
        <f t="shared" si="24"/>
        <v/>
      </c>
      <c r="BD54" s="19" t="str">
        <f t="shared" si="24"/>
        <v/>
      </c>
    </row>
    <row r="55" spans="1:56" ht="24" customHeight="1">
      <c r="A55" s="11" t="str">
        <f>'01_KeHoach'!A55</f>
        <v>WBS-5.3</v>
      </c>
      <c r="B55" s="7" t="str">
        <f>'01_KeHoach'!C55</f>
        <v>W7</v>
      </c>
      <c r="C55" s="7" t="str">
        <f>'01_KeHoach'!B55</f>
        <v>Test từng hop</v>
      </c>
      <c r="D55" s="7" t="str">
        <f>'01_KeHoach'!D55</f>
        <v>Giám sát H1 theo batch/daemon</v>
      </c>
      <c r="E55" s="15">
        <f>'01_KeHoach'!G55</f>
        <v>46301</v>
      </c>
      <c r="F55" s="15">
        <f>'01_KeHoach'!H55</f>
        <v>46302</v>
      </c>
      <c r="G55" s="18" t="str">
        <f t="shared" si="20"/>
        <v/>
      </c>
      <c r="H55" s="18" t="str">
        <f t="shared" si="20"/>
        <v/>
      </c>
      <c r="I55" s="18" t="str">
        <f t="shared" si="20"/>
        <v/>
      </c>
      <c r="J55" s="18" t="str">
        <f t="shared" si="20"/>
        <v/>
      </c>
      <c r="K55" s="18" t="str">
        <f t="shared" si="20"/>
        <v/>
      </c>
      <c r="L55" s="18" t="str">
        <f t="shared" si="20"/>
        <v/>
      </c>
      <c r="M55" s="18" t="str">
        <f t="shared" si="20"/>
        <v/>
      </c>
      <c r="N55" s="18" t="str">
        <f t="shared" si="20"/>
        <v/>
      </c>
      <c r="O55" s="18" t="str">
        <f t="shared" si="20"/>
        <v/>
      </c>
      <c r="P55" s="18" t="str">
        <f t="shared" si="20"/>
        <v/>
      </c>
      <c r="Q55" s="18" t="str">
        <f t="shared" si="21"/>
        <v/>
      </c>
      <c r="R55" s="18" t="str">
        <f t="shared" si="21"/>
        <v/>
      </c>
      <c r="S55" s="18" t="str">
        <f t="shared" si="21"/>
        <v/>
      </c>
      <c r="T55" s="18" t="str">
        <f t="shared" si="21"/>
        <v/>
      </c>
      <c r="U55" s="18" t="str">
        <f t="shared" si="21"/>
        <v/>
      </c>
      <c r="V55" s="18" t="str">
        <f t="shared" si="21"/>
        <v/>
      </c>
      <c r="W55" s="18" t="str">
        <f t="shared" si="21"/>
        <v/>
      </c>
      <c r="X55" s="18" t="str">
        <f t="shared" si="21"/>
        <v/>
      </c>
      <c r="Y55" s="18" t="str">
        <f t="shared" si="21"/>
        <v/>
      </c>
      <c r="Z55" s="18" t="str">
        <f t="shared" si="21"/>
        <v/>
      </c>
      <c r="AA55" s="18" t="str">
        <f t="shared" si="22"/>
        <v/>
      </c>
      <c r="AB55" s="18" t="str">
        <f t="shared" si="22"/>
        <v/>
      </c>
      <c r="AC55" s="18" t="str">
        <f t="shared" si="22"/>
        <v/>
      </c>
      <c r="AD55" s="18" t="str">
        <f t="shared" si="22"/>
        <v/>
      </c>
      <c r="AE55" s="18" t="str">
        <f t="shared" si="22"/>
        <v/>
      </c>
      <c r="AF55" s="18" t="str">
        <f t="shared" si="22"/>
        <v/>
      </c>
      <c r="AG55" s="18" t="str">
        <f t="shared" si="22"/>
        <v/>
      </c>
      <c r="AH55" s="18" t="str">
        <f t="shared" si="22"/>
        <v/>
      </c>
      <c r="AI55" s="18" t="str">
        <f t="shared" si="22"/>
        <v/>
      </c>
      <c r="AJ55" s="18" t="str">
        <f t="shared" si="22"/>
        <v/>
      </c>
      <c r="AK55" s="19" t="str">
        <f t="shared" si="23"/>
        <v/>
      </c>
      <c r="AL55" s="19" t="str">
        <f t="shared" si="23"/>
        <v>■</v>
      </c>
      <c r="AM55" s="19" t="str">
        <f t="shared" si="23"/>
        <v>■</v>
      </c>
      <c r="AN55" s="19" t="str">
        <f t="shared" si="23"/>
        <v/>
      </c>
      <c r="AO55" s="19" t="str">
        <f t="shared" si="23"/>
        <v/>
      </c>
      <c r="AP55" s="19" t="str">
        <f t="shared" si="23"/>
        <v/>
      </c>
      <c r="AQ55" s="19" t="str">
        <f t="shared" si="23"/>
        <v/>
      </c>
      <c r="AR55" s="19" t="str">
        <f t="shared" si="23"/>
        <v/>
      </c>
      <c r="AS55" s="19" t="str">
        <f t="shared" si="23"/>
        <v/>
      </c>
      <c r="AT55" s="19" t="str">
        <f t="shared" si="23"/>
        <v/>
      </c>
      <c r="AU55" s="19" t="str">
        <f t="shared" si="24"/>
        <v/>
      </c>
      <c r="AV55" s="19" t="str">
        <f t="shared" si="24"/>
        <v/>
      </c>
      <c r="AW55" s="19" t="str">
        <f t="shared" si="24"/>
        <v/>
      </c>
      <c r="AX55" s="19" t="str">
        <f t="shared" si="24"/>
        <v/>
      </c>
      <c r="AY55" s="19" t="str">
        <f t="shared" si="24"/>
        <v/>
      </c>
      <c r="AZ55" s="19" t="str">
        <f t="shared" si="24"/>
        <v/>
      </c>
      <c r="BA55" s="19" t="str">
        <f t="shared" si="24"/>
        <v/>
      </c>
      <c r="BB55" s="19" t="str">
        <f t="shared" si="24"/>
        <v/>
      </c>
      <c r="BC55" s="19" t="str">
        <f t="shared" si="24"/>
        <v/>
      </c>
      <c r="BD55" s="19" t="str">
        <f t="shared" si="24"/>
        <v/>
      </c>
    </row>
    <row r="56" spans="1:56" ht="24" customHeight="1">
      <c r="A56" s="11" t="str">
        <f>'01_KeHoach'!A56</f>
        <v>WBS-5.4</v>
      </c>
      <c r="B56" s="7" t="str">
        <f>'01_KeHoach'!C56</f>
        <v>W7</v>
      </c>
      <c r="C56" s="7" t="str">
        <f>'01_KeHoach'!B56</f>
        <v>Test từng hop</v>
      </c>
      <c r="D56" s="7" t="str">
        <f>'01_KeHoach'!D56</f>
        <v>Post-check, functional và integrity H1</v>
      </c>
      <c r="E56" s="15">
        <f>'01_KeHoach'!G56</f>
        <v>46302</v>
      </c>
      <c r="F56" s="15">
        <f>'01_KeHoach'!H56</f>
        <v>46302</v>
      </c>
      <c r="G56" s="18" t="str">
        <f t="shared" ref="G56:P65" si="25">IF(AND(G$5&gt;=$E56,G$5&lt;=$F56),"■","")</f>
        <v/>
      </c>
      <c r="H56" s="18" t="str">
        <f t="shared" si="25"/>
        <v/>
      </c>
      <c r="I56" s="18" t="str">
        <f t="shared" si="25"/>
        <v/>
      </c>
      <c r="J56" s="18" t="str">
        <f t="shared" si="25"/>
        <v/>
      </c>
      <c r="K56" s="18" t="str">
        <f t="shared" si="25"/>
        <v/>
      </c>
      <c r="L56" s="18" t="str">
        <f t="shared" si="25"/>
        <v/>
      </c>
      <c r="M56" s="18" t="str">
        <f t="shared" si="25"/>
        <v/>
      </c>
      <c r="N56" s="18" t="str">
        <f t="shared" si="25"/>
        <v/>
      </c>
      <c r="O56" s="18" t="str">
        <f t="shared" si="25"/>
        <v/>
      </c>
      <c r="P56" s="18" t="str">
        <f t="shared" si="25"/>
        <v/>
      </c>
      <c r="Q56" s="18" t="str">
        <f t="shared" ref="Q56:Z65" si="26">IF(AND(Q$5&gt;=$E56,Q$5&lt;=$F56),"■","")</f>
        <v/>
      </c>
      <c r="R56" s="18" t="str">
        <f t="shared" si="26"/>
        <v/>
      </c>
      <c r="S56" s="18" t="str">
        <f t="shared" si="26"/>
        <v/>
      </c>
      <c r="T56" s="18" t="str">
        <f t="shared" si="26"/>
        <v/>
      </c>
      <c r="U56" s="18" t="str">
        <f t="shared" si="26"/>
        <v/>
      </c>
      <c r="V56" s="18" t="str">
        <f t="shared" si="26"/>
        <v/>
      </c>
      <c r="W56" s="18" t="str">
        <f t="shared" si="26"/>
        <v/>
      </c>
      <c r="X56" s="18" t="str">
        <f t="shared" si="26"/>
        <v/>
      </c>
      <c r="Y56" s="18" t="str">
        <f t="shared" si="26"/>
        <v/>
      </c>
      <c r="Z56" s="18" t="str">
        <f t="shared" si="26"/>
        <v/>
      </c>
      <c r="AA56" s="18" t="str">
        <f t="shared" ref="AA56:AJ65" si="27">IF(AND(AA$5&gt;=$E56,AA$5&lt;=$F56),"■","")</f>
        <v/>
      </c>
      <c r="AB56" s="18" t="str">
        <f t="shared" si="27"/>
        <v/>
      </c>
      <c r="AC56" s="18" t="str">
        <f t="shared" si="27"/>
        <v/>
      </c>
      <c r="AD56" s="18" t="str">
        <f t="shared" si="27"/>
        <v/>
      </c>
      <c r="AE56" s="18" t="str">
        <f t="shared" si="27"/>
        <v/>
      </c>
      <c r="AF56" s="18" t="str">
        <f t="shared" si="27"/>
        <v/>
      </c>
      <c r="AG56" s="18" t="str">
        <f t="shared" si="27"/>
        <v/>
      </c>
      <c r="AH56" s="18" t="str">
        <f t="shared" si="27"/>
        <v/>
      </c>
      <c r="AI56" s="18" t="str">
        <f t="shared" si="27"/>
        <v/>
      </c>
      <c r="AJ56" s="18" t="str">
        <f t="shared" si="27"/>
        <v/>
      </c>
      <c r="AK56" s="19" t="str">
        <f t="shared" ref="AK56:AT65" si="28">IF(AND(AK$5&gt;=$E56,AK$5&lt;=$F56),"■","")</f>
        <v/>
      </c>
      <c r="AL56" s="19" t="str">
        <f t="shared" si="28"/>
        <v/>
      </c>
      <c r="AM56" s="19" t="str">
        <f t="shared" si="28"/>
        <v>■</v>
      </c>
      <c r="AN56" s="19" t="str">
        <f t="shared" si="28"/>
        <v/>
      </c>
      <c r="AO56" s="19" t="str">
        <f t="shared" si="28"/>
        <v/>
      </c>
      <c r="AP56" s="19" t="str">
        <f t="shared" si="28"/>
        <v/>
      </c>
      <c r="AQ56" s="19" t="str">
        <f t="shared" si="28"/>
        <v/>
      </c>
      <c r="AR56" s="19" t="str">
        <f t="shared" si="28"/>
        <v/>
      </c>
      <c r="AS56" s="19" t="str">
        <f t="shared" si="28"/>
        <v/>
      </c>
      <c r="AT56" s="19" t="str">
        <f t="shared" si="28"/>
        <v/>
      </c>
      <c r="AU56" s="19" t="str">
        <f t="shared" ref="AU56:BD65" si="29">IF(AND(AU$5&gt;=$E56,AU$5&lt;=$F56),"■","")</f>
        <v/>
      </c>
      <c r="AV56" s="19" t="str">
        <f t="shared" si="29"/>
        <v/>
      </c>
      <c r="AW56" s="19" t="str">
        <f t="shared" si="29"/>
        <v/>
      </c>
      <c r="AX56" s="19" t="str">
        <f t="shared" si="29"/>
        <v/>
      </c>
      <c r="AY56" s="19" t="str">
        <f t="shared" si="29"/>
        <v/>
      </c>
      <c r="AZ56" s="19" t="str">
        <f t="shared" si="29"/>
        <v/>
      </c>
      <c r="BA56" s="19" t="str">
        <f t="shared" si="29"/>
        <v/>
      </c>
      <c r="BB56" s="19" t="str">
        <f t="shared" si="29"/>
        <v/>
      </c>
      <c r="BC56" s="19" t="str">
        <f t="shared" si="29"/>
        <v/>
      </c>
      <c r="BD56" s="19" t="str">
        <f t="shared" si="29"/>
        <v/>
      </c>
    </row>
    <row r="57" spans="1:56" ht="24" customHeight="1">
      <c r="A57" s="11" t="str">
        <f>'01_KeHoach'!A57</f>
        <v>WBS-5.5</v>
      </c>
      <c r="B57" s="7" t="str">
        <f>'01_KeHoach'!C57</f>
        <v>W7</v>
      </c>
      <c r="C57" s="7" t="str">
        <f>'01_KeHoach'!B57</f>
        <v>Test từng hop</v>
      </c>
      <c r="D57" s="7" t="str">
        <f>'01_KeHoach'!D57</f>
        <v>Soak H1 và Exit Gate</v>
      </c>
      <c r="E57" s="15">
        <f>'01_KeHoach'!G57</f>
        <v>46302</v>
      </c>
      <c r="F57" s="15">
        <f>'01_KeHoach'!H57</f>
        <v>46303</v>
      </c>
      <c r="G57" s="18" t="str">
        <f t="shared" si="25"/>
        <v/>
      </c>
      <c r="H57" s="18" t="str">
        <f t="shared" si="25"/>
        <v/>
      </c>
      <c r="I57" s="18" t="str">
        <f t="shared" si="25"/>
        <v/>
      </c>
      <c r="J57" s="18" t="str">
        <f t="shared" si="25"/>
        <v/>
      </c>
      <c r="K57" s="18" t="str">
        <f t="shared" si="25"/>
        <v/>
      </c>
      <c r="L57" s="18" t="str">
        <f t="shared" si="25"/>
        <v/>
      </c>
      <c r="M57" s="18" t="str">
        <f t="shared" si="25"/>
        <v/>
      </c>
      <c r="N57" s="18" t="str">
        <f t="shared" si="25"/>
        <v/>
      </c>
      <c r="O57" s="18" t="str">
        <f t="shared" si="25"/>
        <v/>
      </c>
      <c r="P57" s="18" t="str">
        <f t="shared" si="25"/>
        <v/>
      </c>
      <c r="Q57" s="18" t="str">
        <f t="shared" si="26"/>
        <v/>
      </c>
      <c r="R57" s="18" t="str">
        <f t="shared" si="26"/>
        <v/>
      </c>
      <c r="S57" s="18" t="str">
        <f t="shared" si="26"/>
        <v/>
      </c>
      <c r="T57" s="18" t="str">
        <f t="shared" si="26"/>
        <v/>
      </c>
      <c r="U57" s="18" t="str">
        <f t="shared" si="26"/>
        <v/>
      </c>
      <c r="V57" s="18" t="str">
        <f t="shared" si="26"/>
        <v/>
      </c>
      <c r="W57" s="18" t="str">
        <f t="shared" si="26"/>
        <v/>
      </c>
      <c r="X57" s="18" t="str">
        <f t="shared" si="26"/>
        <v/>
      </c>
      <c r="Y57" s="18" t="str">
        <f t="shared" si="26"/>
        <v/>
      </c>
      <c r="Z57" s="18" t="str">
        <f t="shared" si="26"/>
        <v/>
      </c>
      <c r="AA57" s="18" t="str">
        <f t="shared" si="27"/>
        <v/>
      </c>
      <c r="AB57" s="18" t="str">
        <f t="shared" si="27"/>
        <v/>
      </c>
      <c r="AC57" s="18" t="str">
        <f t="shared" si="27"/>
        <v/>
      </c>
      <c r="AD57" s="18" t="str">
        <f t="shared" si="27"/>
        <v/>
      </c>
      <c r="AE57" s="18" t="str">
        <f t="shared" si="27"/>
        <v/>
      </c>
      <c r="AF57" s="18" t="str">
        <f t="shared" si="27"/>
        <v/>
      </c>
      <c r="AG57" s="18" t="str">
        <f t="shared" si="27"/>
        <v/>
      </c>
      <c r="AH57" s="18" t="str">
        <f t="shared" si="27"/>
        <v/>
      </c>
      <c r="AI57" s="18" t="str">
        <f t="shared" si="27"/>
        <v/>
      </c>
      <c r="AJ57" s="18" t="str">
        <f t="shared" si="27"/>
        <v/>
      </c>
      <c r="AK57" s="19" t="str">
        <f t="shared" si="28"/>
        <v/>
      </c>
      <c r="AL57" s="19" t="str">
        <f t="shared" si="28"/>
        <v/>
      </c>
      <c r="AM57" s="19" t="str">
        <f t="shared" si="28"/>
        <v>■</v>
      </c>
      <c r="AN57" s="19" t="str">
        <f t="shared" si="28"/>
        <v>■</v>
      </c>
      <c r="AO57" s="19" t="str">
        <f t="shared" si="28"/>
        <v/>
      </c>
      <c r="AP57" s="19" t="str">
        <f t="shared" si="28"/>
        <v/>
      </c>
      <c r="AQ57" s="19" t="str">
        <f t="shared" si="28"/>
        <v/>
      </c>
      <c r="AR57" s="19" t="str">
        <f t="shared" si="28"/>
        <v/>
      </c>
      <c r="AS57" s="19" t="str">
        <f t="shared" si="28"/>
        <v/>
      </c>
      <c r="AT57" s="19" t="str">
        <f t="shared" si="28"/>
        <v/>
      </c>
      <c r="AU57" s="19" t="str">
        <f t="shared" si="29"/>
        <v/>
      </c>
      <c r="AV57" s="19" t="str">
        <f t="shared" si="29"/>
        <v/>
      </c>
      <c r="AW57" s="19" t="str">
        <f t="shared" si="29"/>
        <v/>
      </c>
      <c r="AX57" s="19" t="str">
        <f t="shared" si="29"/>
        <v/>
      </c>
      <c r="AY57" s="19" t="str">
        <f t="shared" si="29"/>
        <v/>
      </c>
      <c r="AZ57" s="19" t="str">
        <f t="shared" si="29"/>
        <v/>
      </c>
      <c r="BA57" s="19" t="str">
        <f t="shared" si="29"/>
        <v/>
      </c>
      <c r="BB57" s="19" t="str">
        <f t="shared" si="29"/>
        <v/>
      </c>
      <c r="BC57" s="19" t="str">
        <f t="shared" si="29"/>
        <v/>
      </c>
      <c r="BD57" s="19" t="str">
        <f t="shared" si="29"/>
        <v/>
      </c>
    </row>
    <row r="58" spans="1:56" ht="24" customHeight="1">
      <c r="A58" s="11" t="str">
        <f>'01_KeHoach'!A58</f>
        <v>WBS-5.6</v>
      </c>
      <c r="B58" s="7" t="str">
        <f>'01_KeHoach'!C58</f>
        <v>W7</v>
      </c>
      <c r="C58" s="7" t="str">
        <f>'01_KeHoach'!B58</f>
        <v>Test từng hop</v>
      </c>
      <c r="D58" s="7" t="str">
        <f>'01_KeHoach'!D58</f>
        <v>Phân tích H1 và cập nhật tài liệu</v>
      </c>
      <c r="E58" s="15">
        <f>'01_KeHoach'!G58</f>
        <v>46304</v>
      </c>
      <c r="F58" s="15">
        <f>'01_KeHoach'!H58</f>
        <v>46304</v>
      </c>
      <c r="G58" s="18" t="str">
        <f t="shared" si="25"/>
        <v/>
      </c>
      <c r="H58" s="18" t="str">
        <f t="shared" si="25"/>
        <v/>
      </c>
      <c r="I58" s="18" t="str">
        <f t="shared" si="25"/>
        <v/>
      </c>
      <c r="J58" s="18" t="str">
        <f t="shared" si="25"/>
        <v/>
      </c>
      <c r="K58" s="18" t="str">
        <f t="shared" si="25"/>
        <v/>
      </c>
      <c r="L58" s="18" t="str">
        <f t="shared" si="25"/>
        <v/>
      </c>
      <c r="M58" s="18" t="str">
        <f t="shared" si="25"/>
        <v/>
      </c>
      <c r="N58" s="18" t="str">
        <f t="shared" si="25"/>
        <v/>
      </c>
      <c r="O58" s="18" t="str">
        <f t="shared" si="25"/>
        <v/>
      </c>
      <c r="P58" s="18" t="str">
        <f t="shared" si="25"/>
        <v/>
      </c>
      <c r="Q58" s="18" t="str">
        <f t="shared" si="26"/>
        <v/>
      </c>
      <c r="R58" s="18" t="str">
        <f t="shared" si="26"/>
        <v/>
      </c>
      <c r="S58" s="18" t="str">
        <f t="shared" si="26"/>
        <v/>
      </c>
      <c r="T58" s="18" t="str">
        <f t="shared" si="26"/>
        <v/>
      </c>
      <c r="U58" s="18" t="str">
        <f t="shared" si="26"/>
        <v/>
      </c>
      <c r="V58" s="18" t="str">
        <f t="shared" si="26"/>
        <v/>
      </c>
      <c r="W58" s="18" t="str">
        <f t="shared" si="26"/>
        <v/>
      </c>
      <c r="X58" s="18" t="str">
        <f t="shared" si="26"/>
        <v/>
      </c>
      <c r="Y58" s="18" t="str">
        <f t="shared" si="26"/>
        <v/>
      </c>
      <c r="Z58" s="18" t="str">
        <f t="shared" si="26"/>
        <v/>
      </c>
      <c r="AA58" s="18" t="str">
        <f t="shared" si="27"/>
        <v/>
      </c>
      <c r="AB58" s="18" t="str">
        <f t="shared" si="27"/>
        <v/>
      </c>
      <c r="AC58" s="18" t="str">
        <f t="shared" si="27"/>
        <v/>
      </c>
      <c r="AD58" s="18" t="str">
        <f t="shared" si="27"/>
        <v/>
      </c>
      <c r="AE58" s="18" t="str">
        <f t="shared" si="27"/>
        <v/>
      </c>
      <c r="AF58" s="18" t="str">
        <f t="shared" si="27"/>
        <v/>
      </c>
      <c r="AG58" s="18" t="str">
        <f t="shared" si="27"/>
        <v/>
      </c>
      <c r="AH58" s="18" t="str">
        <f t="shared" si="27"/>
        <v/>
      </c>
      <c r="AI58" s="18" t="str">
        <f t="shared" si="27"/>
        <v/>
      </c>
      <c r="AJ58" s="18" t="str">
        <f t="shared" si="27"/>
        <v/>
      </c>
      <c r="AK58" s="19" t="str">
        <f t="shared" si="28"/>
        <v/>
      </c>
      <c r="AL58" s="19" t="str">
        <f t="shared" si="28"/>
        <v/>
      </c>
      <c r="AM58" s="19" t="str">
        <f t="shared" si="28"/>
        <v/>
      </c>
      <c r="AN58" s="19" t="str">
        <f t="shared" si="28"/>
        <v/>
      </c>
      <c r="AO58" s="19" t="str">
        <f t="shared" si="28"/>
        <v>■</v>
      </c>
      <c r="AP58" s="19" t="str">
        <f t="shared" si="28"/>
        <v/>
      </c>
      <c r="AQ58" s="19" t="str">
        <f t="shared" si="28"/>
        <v/>
      </c>
      <c r="AR58" s="19" t="str">
        <f t="shared" si="28"/>
        <v/>
      </c>
      <c r="AS58" s="19" t="str">
        <f t="shared" si="28"/>
        <v/>
      </c>
      <c r="AT58" s="19" t="str">
        <f t="shared" si="28"/>
        <v/>
      </c>
      <c r="AU58" s="19" t="str">
        <f t="shared" si="29"/>
        <v/>
      </c>
      <c r="AV58" s="19" t="str">
        <f t="shared" si="29"/>
        <v/>
      </c>
      <c r="AW58" s="19" t="str">
        <f t="shared" si="29"/>
        <v/>
      </c>
      <c r="AX58" s="19" t="str">
        <f t="shared" si="29"/>
        <v/>
      </c>
      <c r="AY58" s="19" t="str">
        <f t="shared" si="29"/>
        <v/>
      </c>
      <c r="AZ58" s="19" t="str">
        <f t="shared" si="29"/>
        <v/>
      </c>
      <c r="BA58" s="19" t="str">
        <f t="shared" si="29"/>
        <v/>
      </c>
      <c r="BB58" s="19" t="str">
        <f t="shared" si="29"/>
        <v/>
      </c>
      <c r="BC58" s="19" t="str">
        <f t="shared" si="29"/>
        <v/>
      </c>
      <c r="BD58" s="19" t="str">
        <f t="shared" si="29"/>
        <v/>
      </c>
    </row>
    <row r="59" spans="1:56" ht="24" customHeight="1">
      <c r="A59" s="11" t="str">
        <f>'01_KeHoach'!A59</f>
        <v>WBS-5.7</v>
      </c>
      <c r="B59" s="7" t="str">
        <f>'01_KeHoach'!C59</f>
        <v>W8</v>
      </c>
      <c r="C59" s="7" t="str">
        <f>'01_KeHoach'!B59</f>
        <v>Test từng hop</v>
      </c>
      <c r="D59" s="7" t="str">
        <f>'01_KeHoach'!D59</f>
        <v>Pre-check và backup checkpoint H2</v>
      </c>
      <c r="E59" s="15">
        <f>'01_KeHoach'!G59</f>
        <v>46307</v>
      </c>
      <c r="F59" s="15">
        <f>'01_KeHoach'!H59</f>
        <v>46307</v>
      </c>
      <c r="G59" s="18" t="str">
        <f t="shared" si="25"/>
        <v/>
      </c>
      <c r="H59" s="18" t="str">
        <f t="shared" si="25"/>
        <v/>
      </c>
      <c r="I59" s="18" t="str">
        <f t="shared" si="25"/>
        <v/>
      </c>
      <c r="J59" s="18" t="str">
        <f t="shared" si="25"/>
        <v/>
      </c>
      <c r="K59" s="18" t="str">
        <f t="shared" si="25"/>
        <v/>
      </c>
      <c r="L59" s="18" t="str">
        <f t="shared" si="25"/>
        <v/>
      </c>
      <c r="M59" s="18" t="str">
        <f t="shared" si="25"/>
        <v/>
      </c>
      <c r="N59" s="18" t="str">
        <f t="shared" si="25"/>
        <v/>
      </c>
      <c r="O59" s="18" t="str">
        <f t="shared" si="25"/>
        <v/>
      </c>
      <c r="P59" s="18" t="str">
        <f t="shared" si="25"/>
        <v/>
      </c>
      <c r="Q59" s="18" t="str">
        <f t="shared" si="26"/>
        <v/>
      </c>
      <c r="R59" s="18" t="str">
        <f t="shared" si="26"/>
        <v/>
      </c>
      <c r="S59" s="18" t="str">
        <f t="shared" si="26"/>
        <v/>
      </c>
      <c r="T59" s="18" t="str">
        <f t="shared" si="26"/>
        <v/>
      </c>
      <c r="U59" s="18" t="str">
        <f t="shared" si="26"/>
        <v/>
      </c>
      <c r="V59" s="18" t="str">
        <f t="shared" si="26"/>
        <v/>
      </c>
      <c r="W59" s="18" t="str">
        <f t="shared" si="26"/>
        <v/>
      </c>
      <c r="X59" s="18" t="str">
        <f t="shared" si="26"/>
        <v/>
      </c>
      <c r="Y59" s="18" t="str">
        <f t="shared" si="26"/>
        <v/>
      </c>
      <c r="Z59" s="18" t="str">
        <f t="shared" si="26"/>
        <v/>
      </c>
      <c r="AA59" s="18" t="str">
        <f t="shared" si="27"/>
        <v/>
      </c>
      <c r="AB59" s="18" t="str">
        <f t="shared" si="27"/>
        <v/>
      </c>
      <c r="AC59" s="18" t="str">
        <f t="shared" si="27"/>
        <v/>
      </c>
      <c r="AD59" s="18" t="str">
        <f t="shared" si="27"/>
        <v/>
      </c>
      <c r="AE59" s="18" t="str">
        <f t="shared" si="27"/>
        <v/>
      </c>
      <c r="AF59" s="18" t="str">
        <f t="shared" si="27"/>
        <v/>
      </c>
      <c r="AG59" s="18" t="str">
        <f t="shared" si="27"/>
        <v/>
      </c>
      <c r="AH59" s="18" t="str">
        <f t="shared" si="27"/>
        <v/>
      </c>
      <c r="AI59" s="18" t="str">
        <f t="shared" si="27"/>
        <v/>
      </c>
      <c r="AJ59" s="18" t="str">
        <f t="shared" si="27"/>
        <v/>
      </c>
      <c r="AK59" s="19" t="str">
        <f t="shared" si="28"/>
        <v/>
      </c>
      <c r="AL59" s="19" t="str">
        <f t="shared" si="28"/>
        <v/>
      </c>
      <c r="AM59" s="19" t="str">
        <f t="shared" si="28"/>
        <v/>
      </c>
      <c r="AN59" s="19" t="str">
        <f t="shared" si="28"/>
        <v/>
      </c>
      <c r="AO59" s="19" t="str">
        <f t="shared" si="28"/>
        <v/>
      </c>
      <c r="AP59" s="19" t="str">
        <f t="shared" si="28"/>
        <v>■</v>
      </c>
      <c r="AQ59" s="19" t="str">
        <f t="shared" si="28"/>
        <v/>
      </c>
      <c r="AR59" s="19" t="str">
        <f t="shared" si="28"/>
        <v/>
      </c>
      <c r="AS59" s="19" t="str">
        <f t="shared" si="28"/>
        <v/>
      </c>
      <c r="AT59" s="19" t="str">
        <f t="shared" si="28"/>
        <v/>
      </c>
      <c r="AU59" s="19" t="str">
        <f t="shared" si="29"/>
        <v/>
      </c>
      <c r="AV59" s="19" t="str">
        <f t="shared" si="29"/>
        <v/>
      </c>
      <c r="AW59" s="19" t="str">
        <f t="shared" si="29"/>
        <v/>
      </c>
      <c r="AX59" s="19" t="str">
        <f t="shared" si="29"/>
        <v/>
      </c>
      <c r="AY59" s="19" t="str">
        <f t="shared" si="29"/>
        <v/>
      </c>
      <c r="AZ59" s="19" t="str">
        <f t="shared" si="29"/>
        <v/>
      </c>
      <c r="BA59" s="19" t="str">
        <f t="shared" si="29"/>
        <v/>
      </c>
      <c r="BB59" s="19" t="str">
        <f t="shared" si="29"/>
        <v/>
      </c>
      <c r="BC59" s="19" t="str">
        <f t="shared" si="29"/>
        <v/>
      </c>
      <c r="BD59" s="19" t="str">
        <f t="shared" si="29"/>
        <v/>
      </c>
    </row>
    <row r="60" spans="1:56" ht="24" customHeight="1">
      <c r="A60" s="11" t="str">
        <f>'01_KeHoach'!A60</f>
        <v>WBS-5.8</v>
      </c>
      <c r="B60" s="7" t="str">
        <f>'01_KeHoach'!C60</f>
        <v>W8</v>
      </c>
      <c r="C60" s="7" t="str">
        <f>'01_KeHoach'!B60</f>
        <v>Test từng hop</v>
      </c>
      <c r="D60" s="7" t="str">
        <f>'01_KeHoach'!D60</f>
        <v>Rolling upgrade H2 dưới IO liên tục</v>
      </c>
      <c r="E60" s="15">
        <f>'01_KeHoach'!G60</f>
        <v>46308</v>
      </c>
      <c r="F60" s="15">
        <f>'01_KeHoach'!H60</f>
        <v>46308</v>
      </c>
      <c r="G60" s="18" t="str">
        <f t="shared" si="25"/>
        <v/>
      </c>
      <c r="H60" s="18" t="str">
        <f t="shared" si="25"/>
        <v/>
      </c>
      <c r="I60" s="18" t="str">
        <f t="shared" si="25"/>
        <v/>
      </c>
      <c r="J60" s="18" t="str">
        <f t="shared" si="25"/>
        <v/>
      </c>
      <c r="K60" s="18" t="str">
        <f t="shared" si="25"/>
        <v/>
      </c>
      <c r="L60" s="18" t="str">
        <f t="shared" si="25"/>
        <v/>
      </c>
      <c r="M60" s="18" t="str">
        <f t="shared" si="25"/>
        <v/>
      </c>
      <c r="N60" s="18" t="str">
        <f t="shared" si="25"/>
        <v/>
      </c>
      <c r="O60" s="18" t="str">
        <f t="shared" si="25"/>
        <v/>
      </c>
      <c r="P60" s="18" t="str">
        <f t="shared" si="25"/>
        <v/>
      </c>
      <c r="Q60" s="18" t="str">
        <f t="shared" si="26"/>
        <v/>
      </c>
      <c r="R60" s="18" t="str">
        <f t="shared" si="26"/>
        <v/>
      </c>
      <c r="S60" s="18" t="str">
        <f t="shared" si="26"/>
        <v/>
      </c>
      <c r="T60" s="18" t="str">
        <f t="shared" si="26"/>
        <v/>
      </c>
      <c r="U60" s="18" t="str">
        <f t="shared" si="26"/>
        <v/>
      </c>
      <c r="V60" s="18" t="str">
        <f t="shared" si="26"/>
        <v/>
      </c>
      <c r="W60" s="18" t="str">
        <f t="shared" si="26"/>
        <v/>
      </c>
      <c r="X60" s="18" t="str">
        <f t="shared" si="26"/>
        <v/>
      </c>
      <c r="Y60" s="18" t="str">
        <f t="shared" si="26"/>
        <v/>
      </c>
      <c r="Z60" s="18" t="str">
        <f t="shared" si="26"/>
        <v/>
      </c>
      <c r="AA60" s="18" t="str">
        <f t="shared" si="27"/>
        <v/>
      </c>
      <c r="AB60" s="18" t="str">
        <f t="shared" si="27"/>
        <v/>
      </c>
      <c r="AC60" s="18" t="str">
        <f t="shared" si="27"/>
        <v/>
      </c>
      <c r="AD60" s="18" t="str">
        <f t="shared" si="27"/>
        <v/>
      </c>
      <c r="AE60" s="18" t="str">
        <f t="shared" si="27"/>
        <v/>
      </c>
      <c r="AF60" s="18" t="str">
        <f t="shared" si="27"/>
        <v/>
      </c>
      <c r="AG60" s="18" t="str">
        <f t="shared" si="27"/>
        <v/>
      </c>
      <c r="AH60" s="18" t="str">
        <f t="shared" si="27"/>
        <v/>
      </c>
      <c r="AI60" s="18" t="str">
        <f t="shared" si="27"/>
        <v/>
      </c>
      <c r="AJ60" s="18" t="str">
        <f t="shared" si="27"/>
        <v/>
      </c>
      <c r="AK60" s="19" t="str">
        <f t="shared" si="28"/>
        <v/>
      </c>
      <c r="AL60" s="19" t="str">
        <f t="shared" si="28"/>
        <v/>
      </c>
      <c r="AM60" s="19" t="str">
        <f t="shared" si="28"/>
        <v/>
      </c>
      <c r="AN60" s="19" t="str">
        <f t="shared" si="28"/>
        <v/>
      </c>
      <c r="AO60" s="19" t="str">
        <f t="shared" si="28"/>
        <v/>
      </c>
      <c r="AP60" s="19" t="str">
        <f t="shared" si="28"/>
        <v/>
      </c>
      <c r="AQ60" s="19" t="str">
        <f t="shared" si="28"/>
        <v>■</v>
      </c>
      <c r="AR60" s="19" t="str">
        <f t="shared" si="28"/>
        <v/>
      </c>
      <c r="AS60" s="19" t="str">
        <f t="shared" si="28"/>
        <v/>
      </c>
      <c r="AT60" s="19" t="str">
        <f t="shared" si="28"/>
        <v/>
      </c>
      <c r="AU60" s="19" t="str">
        <f t="shared" si="29"/>
        <v/>
      </c>
      <c r="AV60" s="19" t="str">
        <f t="shared" si="29"/>
        <v/>
      </c>
      <c r="AW60" s="19" t="str">
        <f t="shared" si="29"/>
        <v/>
      </c>
      <c r="AX60" s="19" t="str">
        <f t="shared" si="29"/>
        <v/>
      </c>
      <c r="AY60" s="19" t="str">
        <f t="shared" si="29"/>
        <v/>
      </c>
      <c r="AZ60" s="19" t="str">
        <f t="shared" si="29"/>
        <v/>
      </c>
      <c r="BA60" s="19" t="str">
        <f t="shared" si="29"/>
        <v/>
      </c>
      <c r="BB60" s="19" t="str">
        <f t="shared" si="29"/>
        <v/>
      </c>
      <c r="BC60" s="19" t="str">
        <f t="shared" si="29"/>
        <v/>
      </c>
      <c r="BD60" s="19" t="str">
        <f t="shared" si="29"/>
        <v/>
      </c>
    </row>
    <row r="61" spans="1:56" ht="24" customHeight="1">
      <c r="A61" s="11" t="str">
        <f>'01_KeHoach'!A61</f>
        <v>WBS-5.9</v>
      </c>
      <c r="B61" s="7" t="str">
        <f>'01_KeHoach'!C61</f>
        <v>W8</v>
      </c>
      <c r="C61" s="7" t="str">
        <f>'01_KeHoach'!B61</f>
        <v>Test từng hop</v>
      </c>
      <c r="D61" s="7" t="str">
        <f>'01_KeHoach'!D61</f>
        <v>Giám sát H2 theo batch/daemon</v>
      </c>
      <c r="E61" s="15">
        <f>'01_KeHoach'!G61</f>
        <v>46308</v>
      </c>
      <c r="F61" s="15">
        <f>'01_KeHoach'!H61</f>
        <v>46309</v>
      </c>
      <c r="G61" s="18" t="str">
        <f t="shared" si="25"/>
        <v/>
      </c>
      <c r="H61" s="18" t="str">
        <f t="shared" si="25"/>
        <v/>
      </c>
      <c r="I61" s="18" t="str">
        <f t="shared" si="25"/>
        <v/>
      </c>
      <c r="J61" s="18" t="str">
        <f t="shared" si="25"/>
        <v/>
      </c>
      <c r="K61" s="18" t="str">
        <f t="shared" si="25"/>
        <v/>
      </c>
      <c r="L61" s="18" t="str">
        <f t="shared" si="25"/>
        <v/>
      </c>
      <c r="M61" s="18" t="str">
        <f t="shared" si="25"/>
        <v/>
      </c>
      <c r="N61" s="18" t="str">
        <f t="shared" si="25"/>
        <v/>
      </c>
      <c r="O61" s="18" t="str">
        <f t="shared" si="25"/>
        <v/>
      </c>
      <c r="P61" s="18" t="str">
        <f t="shared" si="25"/>
        <v/>
      </c>
      <c r="Q61" s="18" t="str">
        <f t="shared" si="26"/>
        <v/>
      </c>
      <c r="R61" s="18" t="str">
        <f t="shared" si="26"/>
        <v/>
      </c>
      <c r="S61" s="18" t="str">
        <f t="shared" si="26"/>
        <v/>
      </c>
      <c r="T61" s="18" t="str">
        <f t="shared" si="26"/>
        <v/>
      </c>
      <c r="U61" s="18" t="str">
        <f t="shared" si="26"/>
        <v/>
      </c>
      <c r="V61" s="18" t="str">
        <f t="shared" si="26"/>
        <v/>
      </c>
      <c r="W61" s="18" t="str">
        <f t="shared" si="26"/>
        <v/>
      </c>
      <c r="X61" s="18" t="str">
        <f t="shared" si="26"/>
        <v/>
      </c>
      <c r="Y61" s="18" t="str">
        <f t="shared" si="26"/>
        <v/>
      </c>
      <c r="Z61" s="18" t="str">
        <f t="shared" si="26"/>
        <v/>
      </c>
      <c r="AA61" s="18" t="str">
        <f t="shared" si="27"/>
        <v/>
      </c>
      <c r="AB61" s="18" t="str">
        <f t="shared" si="27"/>
        <v/>
      </c>
      <c r="AC61" s="18" t="str">
        <f t="shared" si="27"/>
        <v/>
      </c>
      <c r="AD61" s="18" t="str">
        <f t="shared" si="27"/>
        <v/>
      </c>
      <c r="AE61" s="18" t="str">
        <f t="shared" si="27"/>
        <v/>
      </c>
      <c r="AF61" s="18" t="str">
        <f t="shared" si="27"/>
        <v/>
      </c>
      <c r="AG61" s="18" t="str">
        <f t="shared" si="27"/>
        <v/>
      </c>
      <c r="AH61" s="18" t="str">
        <f t="shared" si="27"/>
        <v/>
      </c>
      <c r="AI61" s="18" t="str">
        <f t="shared" si="27"/>
        <v/>
      </c>
      <c r="AJ61" s="18" t="str">
        <f t="shared" si="27"/>
        <v/>
      </c>
      <c r="AK61" s="19" t="str">
        <f t="shared" si="28"/>
        <v/>
      </c>
      <c r="AL61" s="19" t="str">
        <f t="shared" si="28"/>
        <v/>
      </c>
      <c r="AM61" s="19" t="str">
        <f t="shared" si="28"/>
        <v/>
      </c>
      <c r="AN61" s="19" t="str">
        <f t="shared" si="28"/>
        <v/>
      </c>
      <c r="AO61" s="19" t="str">
        <f t="shared" si="28"/>
        <v/>
      </c>
      <c r="AP61" s="19" t="str">
        <f t="shared" si="28"/>
        <v/>
      </c>
      <c r="AQ61" s="19" t="str">
        <f t="shared" si="28"/>
        <v>■</v>
      </c>
      <c r="AR61" s="19" t="str">
        <f t="shared" si="28"/>
        <v>■</v>
      </c>
      <c r="AS61" s="19" t="str">
        <f t="shared" si="28"/>
        <v/>
      </c>
      <c r="AT61" s="19" t="str">
        <f t="shared" si="28"/>
        <v/>
      </c>
      <c r="AU61" s="19" t="str">
        <f t="shared" si="29"/>
        <v/>
      </c>
      <c r="AV61" s="19" t="str">
        <f t="shared" si="29"/>
        <v/>
      </c>
      <c r="AW61" s="19" t="str">
        <f t="shared" si="29"/>
        <v/>
      </c>
      <c r="AX61" s="19" t="str">
        <f t="shared" si="29"/>
        <v/>
      </c>
      <c r="AY61" s="19" t="str">
        <f t="shared" si="29"/>
        <v/>
      </c>
      <c r="AZ61" s="19" t="str">
        <f t="shared" si="29"/>
        <v/>
      </c>
      <c r="BA61" s="19" t="str">
        <f t="shared" si="29"/>
        <v/>
      </c>
      <c r="BB61" s="19" t="str">
        <f t="shared" si="29"/>
        <v/>
      </c>
      <c r="BC61" s="19" t="str">
        <f t="shared" si="29"/>
        <v/>
      </c>
      <c r="BD61" s="19" t="str">
        <f t="shared" si="29"/>
        <v/>
      </c>
    </row>
    <row r="62" spans="1:56" ht="24" customHeight="1">
      <c r="A62" s="11" t="str">
        <f>'01_KeHoach'!A62</f>
        <v>WBS-5.10</v>
      </c>
      <c r="B62" s="7" t="str">
        <f>'01_KeHoach'!C62</f>
        <v>W8</v>
      </c>
      <c r="C62" s="7" t="str">
        <f>'01_KeHoach'!B62</f>
        <v>Test từng hop</v>
      </c>
      <c r="D62" s="7" t="str">
        <f>'01_KeHoach'!D62</f>
        <v>Post-check, functional và integrity H2</v>
      </c>
      <c r="E62" s="15">
        <f>'01_KeHoach'!G62</f>
        <v>46309</v>
      </c>
      <c r="F62" s="15">
        <f>'01_KeHoach'!H62</f>
        <v>46309</v>
      </c>
      <c r="G62" s="18" t="str">
        <f t="shared" si="25"/>
        <v/>
      </c>
      <c r="H62" s="18" t="str">
        <f t="shared" si="25"/>
        <v/>
      </c>
      <c r="I62" s="18" t="str">
        <f t="shared" si="25"/>
        <v/>
      </c>
      <c r="J62" s="18" t="str">
        <f t="shared" si="25"/>
        <v/>
      </c>
      <c r="K62" s="18" t="str">
        <f t="shared" si="25"/>
        <v/>
      </c>
      <c r="L62" s="18" t="str">
        <f t="shared" si="25"/>
        <v/>
      </c>
      <c r="M62" s="18" t="str">
        <f t="shared" si="25"/>
        <v/>
      </c>
      <c r="N62" s="18" t="str">
        <f t="shared" si="25"/>
        <v/>
      </c>
      <c r="O62" s="18" t="str">
        <f t="shared" si="25"/>
        <v/>
      </c>
      <c r="P62" s="18" t="str">
        <f t="shared" si="25"/>
        <v/>
      </c>
      <c r="Q62" s="18" t="str">
        <f t="shared" si="26"/>
        <v/>
      </c>
      <c r="R62" s="18" t="str">
        <f t="shared" si="26"/>
        <v/>
      </c>
      <c r="S62" s="18" t="str">
        <f t="shared" si="26"/>
        <v/>
      </c>
      <c r="T62" s="18" t="str">
        <f t="shared" si="26"/>
        <v/>
      </c>
      <c r="U62" s="18" t="str">
        <f t="shared" si="26"/>
        <v/>
      </c>
      <c r="V62" s="18" t="str">
        <f t="shared" si="26"/>
        <v/>
      </c>
      <c r="W62" s="18" t="str">
        <f t="shared" si="26"/>
        <v/>
      </c>
      <c r="X62" s="18" t="str">
        <f t="shared" si="26"/>
        <v/>
      </c>
      <c r="Y62" s="18" t="str">
        <f t="shared" si="26"/>
        <v/>
      </c>
      <c r="Z62" s="18" t="str">
        <f t="shared" si="26"/>
        <v/>
      </c>
      <c r="AA62" s="18" t="str">
        <f t="shared" si="27"/>
        <v/>
      </c>
      <c r="AB62" s="18" t="str">
        <f t="shared" si="27"/>
        <v/>
      </c>
      <c r="AC62" s="18" t="str">
        <f t="shared" si="27"/>
        <v/>
      </c>
      <c r="AD62" s="18" t="str">
        <f t="shared" si="27"/>
        <v/>
      </c>
      <c r="AE62" s="18" t="str">
        <f t="shared" si="27"/>
        <v/>
      </c>
      <c r="AF62" s="18" t="str">
        <f t="shared" si="27"/>
        <v/>
      </c>
      <c r="AG62" s="18" t="str">
        <f t="shared" si="27"/>
        <v/>
      </c>
      <c r="AH62" s="18" t="str">
        <f t="shared" si="27"/>
        <v/>
      </c>
      <c r="AI62" s="18" t="str">
        <f t="shared" si="27"/>
        <v/>
      </c>
      <c r="AJ62" s="18" t="str">
        <f t="shared" si="27"/>
        <v/>
      </c>
      <c r="AK62" s="19" t="str">
        <f t="shared" si="28"/>
        <v/>
      </c>
      <c r="AL62" s="19" t="str">
        <f t="shared" si="28"/>
        <v/>
      </c>
      <c r="AM62" s="19" t="str">
        <f t="shared" si="28"/>
        <v/>
      </c>
      <c r="AN62" s="19" t="str">
        <f t="shared" si="28"/>
        <v/>
      </c>
      <c r="AO62" s="19" t="str">
        <f t="shared" si="28"/>
        <v/>
      </c>
      <c r="AP62" s="19" t="str">
        <f t="shared" si="28"/>
        <v/>
      </c>
      <c r="AQ62" s="19" t="str">
        <f t="shared" si="28"/>
        <v/>
      </c>
      <c r="AR62" s="19" t="str">
        <f t="shared" si="28"/>
        <v>■</v>
      </c>
      <c r="AS62" s="19" t="str">
        <f t="shared" si="28"/>
        <v/>
      </c>
      <c r="AT62" s="19" t="str">
        <f t="shared" si="28"/>
        <v/>
      </c>
      <c r="AU62" s="19" t="str">
        <f t="shared" si="29"/>
        <v/>
      </c>
      <c r="AV62" s="19" t="str">
        <f t="shared" si="29"/>
        <v/>
      </c>
      <c r="AW62" s="19" t="str">
        <f t="shared" si="29"/>
        <v/>
      </c>
      <c r="AX62" s="19" t="str">
        <f t="shared" si="29"/>
        <v/>
      </c>
      <c r="AY62" s="19" t="str">
        <f t="shared" si="29"/>
        <v/>
      </c>
      <c r="AZ62" s="19" t="str">
        <f t="shared" si="29"/>
        <v/>
      </c>
      <c r="BA62" s="19" t="str">
        <f t="shared" si="29"/>
        <v/>
      </c>
      <c r="BB62" s="19" t="str">
        <f t="shared" si="29"/>
        <v/>
      </c>
      <c r="BC62" s="19" t="str">
        <f t="shared" si="29"/>
        <v/>
      </c>
      <c r="BD62" s="19" t="str">
        <f t="shared" si="29"/>
        <v/>
      </c>
    </row>
    <row r="63" spans="1:56" ht="24" customHeight="1">
      <c r="A63" s="11" t="str">
        <f>'01_KeHoach'!A63</f>
        <v>WBS-5.11</v>
      </c>
      <c r="B63" s="7" t="str">
        <f>'01_KeHoach'!C63</f>
        <v>W8</v>
      </c>
      <c r="C63" s="7" t="str">
        <f>'01_KeHoach'!B63</f>
        <v>Test từng hop</v>
      </c>
      <c r="D63" s="7" t="str">
        <f>'01_KeHoach'!D63</f>
        <v>Soak H2 và Exit Gate</v>
      </c>
      <c r="E63" s="15">
        <f>'01_KeHoach'!G63</f>
        <v>46309</v>
      </c>
      <c r="F63" s="15">
        <f>'01_KeHoach'!H63</f>
        <v>46310</v>
      </c>
      <c r="G63" s="18" t="str">
        <f t="shared" si="25"/>
        <v/>
      </c>
      <c r="H63" s="18" t="str">
        <f t="shared" si="25"/>
        <v/>
      </c>
      <c r="I63" s="18" t="str">
        <f t="shared" si="25"/>
        <v/>
      </c>
      <c r="J63" s="18" t="str">
        <f t="shared" si="25"/>
        <v/>
      </c>
      <c r="K63" s="18" t="str">
        <f t="shared" si="25"/>
        <v/>
      </c>
      <c r="L63" s="18" t="str">
        <f t="shared" si="25"/>
        <v/>
      </c>
      <c r="M63" s="18" t="str">
        <f t="shared" si="25"/>
        <v/>
      </c>
      <c r="N63" s="18" t="str">
        <f t="shared" si="25"/>
        <v/>
      </c>
      <c r="O63" s="18" t="str">
        <f t="shared" si="25"/>
        <v/>
      </c>
      <c r="P63" s="18" t="str">
        <f t="shared" si="25"/>
        <v/>
      </c>
      <c r="Q63" s="18" t="str">
        <f t="shared" si="26"/>
        <v/>
      </c>
      <c r="R63" s="18" t="str">
        <f t="shared" si="26"/>
        <v/>
      </c>
      <c r="S63" s="18" t="str">
        <f t="shared" si="26"/>
        <v/>
      </c>
      <c r="T63" s="18" t="str">
        <f t="shared" si="26"/>
        <v/>
      </c>
      <c r="U63" s="18" t="str">
        <f t="shared" si="26"/>
        <v/>
      </c>
      <c r="V63" s="18" t="str">
        <f t="shared" si="26"/>
        <v/>
      </c>
      <c r="W63" s="18" t="str">
        <f t="shared" si="26"/>
        <v/>
      </c>
      <c r="X63" s="18" t="str">
        <f t="shared" si="26"/>
        <v/>
      </c>
      <c r="Y63" s="18" t="str">
        <f t="shared" si="26"/>
        <v/>
      </c>
      <c r="Z63" s="18" t="str">
        <f t="shared" si="26"/>
        <v/>
      </c>
      <c r="AA63" s="18" t="str">
        <f t="shared" si="27"/>
        <v/>
      </c>
      <c r="AB63" s="18" t="str">
        <f t="shared" si="27"/>
        <v/>
      </c>
      <c r="AC63" s="18" t="str">
        <f t="shared" si="27"/>
        <v/>
      </c>
      <c r="AD63" s="18" t="str">
        <f t="shared" si="27"/>
        <v/>
      </c>
      <c r="AE63" s="18" t="str">
        <f t="shared" si="27"/>
        <v/>
      </c>
      <c r="AF63" s="18" t="str">
        <f t="shared" si="27"/>
        <v/>
      </c>
      <c r="AG63" s="18" t="str">
        <f t="shared" si="27"/>
        <v/>
      </c>
      <c r="AH63" s="18" t="str">
        <f t="shared" si="27"/>
        <v/>
      </c>
      <c r="AI63" s="18" t="str">
        <f t="shared" si="27"/>
        <v/>
      </c>
      <c r="AJ63" s="18" t="str">
        <f t="shared" si="27"/>
        <v/>
      </c>
      <c r="AK63" s="19" t="str">
        <f t="shared" si="28"/>
        <v/>
      </c>
      <c r="AL63" s="19" t="str">
        <f t="shared" si="28"/>
        <v/>
      </c>
      <c r="AM63" s="19" t="str">
        <f t="shared" si="28"/>
        <v/>
      </c>
      <c r="AN63" s="19" t="str">
        <f t="shared" si="28"/>
        <v/>
      </c>
      <c r="AO63" s="19" t="str">
        <f t="shared" si="28"/>
        <v/>
      </c>
      <c r="AP63" s="19" t="str">
        <f t="shared" si="28"/>
        <v/>
      </c>
      <c r="AQ63" s="19" t="str">
        <f t="shared" si="28"/>
        <v/>
      </c>
      <c r="AR63" s="19" t="str">
        <f t="shared" si="28"/>
        <v>■</v>
      </c>
      <c r="AS63" s="19" t="str">
        <f t="shared" si="28"/>
        <v>■</v>
      </c>
      <c r="AT63" s="19" t="str">
        <f t="shared" si="28"/>
        <v/>
      </c>
      <c r="AU63" s="19" t="str">
        <f t="shared" si="29"/>
        <v/>
      </c>
      <c r="AV63" s="19" t="str">
        <f t="shared" si="29"/>
        <v/>
      </c>
      <c r="AW63" s="19" t="str">
        <f t="shared" si="29"/>
        <v/>
      </c>
      <c r="AX63" s="19" t="str">
        <f t="shared" si="29"/>
        <v/>
      </c>
      <c r="AY63" s="19" t="str">
        <f t="shared" si="29"/>
        <v/>
      </c>
      <c r="AZ63" s="19" t="str">
        <f t="shared" si="29"/>
        <v/>
      </c>
      <c r="BA63" s="19" t="str">
        <f t="shared" si="29"/>
        <v/>
      </c>
      <c r="BB63" s="19" t="str">
        <f t="shared" si="29"/>
        <v/>
      </c>
      <c r="BC63" s="19" t="str">
        <f t="shared" si="29"/>
        <v/>
      </c>
      <c r="BD63" s="19" t="str">
        <f t="shared" si="29"/>
        <v/>
      </c>
    </row>
    <row r="64" spans="1:56" ht="24" customHeight="1">
      <c r="A64" s="11" t="str">
        <f>'01_KeHoach'!A64</f>
        <v>WBS-5.12</v>
      </c>
      <c r="B64" s="7" t="str">
        <f>'01_KeHoach'!C64</f>
        <v>W8</v>
      </c>
      <c r="C64" s="7" t="str">
        <f>'01_KeHoach'!B64</f>
        <v>Test từng hop</v>
      </c>
      <c r="D64" s="7" t="str">
        <f>'01_KeHoach'!D64</f>
        <v>Phân tích H2 và cập nhật tài liệu</v>
      </c>
      <c r="E64" s="15">
        <f>'01_KeHoach'!G64</f>
        <v>46311</v>
      </c>
      <c r="F64" s="15">
        <f>'01_KeHoach'!H64</f>
        <v>46311</v>
      </c>
      <c r="G64" s="18" t="str">
        <f t="shared" si="25"/>
        <v/>
      </c>
      <c r="H64" s="18" t="str">
        <f t="shared" si="25"/>
        <v/>
      </c>
      <c r="I64" s="18" t="str">
        <f t="shared" si="25"/>
        <v/>
      </c>
      <c r="J64" s="18" t="str">
        <f t="shared" si="25"/>
        <v/>
      </c>
      <c r="K64" s="18" t="str">
        <f t="shared" si="25"/>
        <v/>
      </c>
      <c r="L64" s="18" t="str">
        <f t="shared" si="25"/>
        <v/>
      </c>
      <c r="M64" s="18" t="str">
        <f t="shared" si="25"/>
        <v/>
      </c>
      <c r="N64" s="18" t="str">
        <f t="shared" si="25"/>
        <v/>
      </c>
      <c r="O64" s="18" t="str">
        <f t="shared" si="25"/>
        <v/>
      </c>
      <c r="P64" s="18" t="str">
        <f t="shared" si="25"/>
        <v/>
      </c>
      <c r="Q64" s="18" t="str">
        <f t="shared" si="26"/>
        <v/>
      </c>
      <c r="R64" s="18" t="str">
        <f t="shared" si="26"/>
        <v/>
      </c>
      <c r="S64" s="18" t="str">
        <f t="shared" si="26"/>
        <v/>
      </c>
      <c r="T64" s="18" t="str">
        <f t="shared" si="26"/>
        <v/>
      </c>
      <c r="U64" s="18" t="str">
        <f t="shared" si="26"/>
        <v/>
      </c>
      <c r="V64" s="18" t="str">
        <f t="shared" si="26"/>
        <v/>
      </c>
      <c r="W64" s="18" t="str">
        <f t="shared" si="26"/>
        <v/>
      </c>
      <c r="X64" s="18" t="str">
        <f t="shared" si="26"/>
        <v/>
      </c>
      <c r="Y64" s="18" t="str">
        <f t="shared" si="26"/>
        <v/>
      </c>
      <c r="Z64" s="18" t="str">
        <f t="shared" si="26"/>
        <v/>
      </c>
      <c r="AA64" s="18" t="str">
        <f t="shared" si="27"/>
        <v/>
      </c>
      <c r="AB64" s="18" t="str">
        <f t="shared" si="27"/>
        <v/>
      </c>
      <c r="AC64" s="18" t="str">
        <f t="shared" si="27"/>
        <v/>
      </c>
      <c r="AD64" s="18" t="str">
        <f t="shared" si="27"/>
        <v/>
      </c>
      <c r="AE64" s="18" t="str">
        <f t="shared" si="27"/>
        <v/>
      </c>
      <c r="AF64" s="18" t="str">
        <f t="shared" si="27"/>
        <v/>
      </c>
      <c r="AG64" s="18" t="str">
        <f t="shared" si="27"/>
        <v/>
      </c>
      <c r="AH64" s="18" t="str">
        <f t="shared" si="27"/>
        <v/>
      </c>
      <c r="AI64" s="18" t="str">
        <f t="shared" si="27"/>
        <v/>
      </c>
      <c r="AJ64" s="18" t="str">
        <f t="shared" si="27"/>
        <v/>
      </c>
      <c r="AK64" s="19" t="str">
        <f t="shared" si="28"/>
        <v/>
      </c>
      <c r="AL64" s="19" t="str">
        <f t="shared" si="28"/>
        <v/>
      </c>
      <c r="AM64" s="19" t="str">
        <f t="shared" si="28"/>
        <v/>
      </c>
      <c r="AN64" s="19" t="str">
        <f t="shared" si="28"/>
        <v/>
      </c>
      <c r="AO64" s="19" t="str">
        <f t="shared" si="28"/>
        <v/>
      </c>
      <c r="AP64" s="19" t="str">
        <f t="shared" si="28"/>
        <v/>
      </c>
      <c r="AQ64" s="19" t="str">
        <f t="shared" si="28"/>
        <v/>
      </c>
      <c r="AR64" s="19" t="str">
        <f t="shared" si="28"/>
        <v/>
      </c>
      <c r="AS64" s="19" t="str">
        <f t="shared" si="28"/>
        <v/>
      </c>
      <c r="AT64" s="19" t="str">
        <f t="shared" si="28"/>
        <v>■</v>
      </c>
      <c r="AU64" s="19" t="str">
        <f t="shared" si="29"/>
        <v/>
      </c>
      <c r="AV64" s="19" t="str">
        <f t="shared" si="29"/>
        <v/>
      </c>
      <c r="AW64" s="19" t="str">
        <f t="shared" si="29"/>
        <v/>
      </c>
      <c r="AX64" s="19" t="str">
        <f t="shared" si="29"/>
        <v/>
      </c>
      <c r="AY64" s="19" t="str">
        <f t="shared" si="29"/>
        <v/>
      </c>
      <c r="AZ64" s="19" t="str">
        <f t="shared" si="29"/>
        <v/>
      </c>
      <c r="BA64" s="19" t="str">
        <f t="shared" si="29"/>
        <v/>
      </c>
      <c r="BB64" s="19" t="str">
        <f t="shared" si="29"/>
        <v/>
      </c>
      <c r="BC64" s="19" t="str">
        <f t="shared" si="29"/>
        <v/>
      </c>
      <c r="BD64" s="19" t="str">
        <f t="shared" si="29"/>
        <v/>
      </c>
    </row>
    <row r="65" spans="1:56" ht="24" customHeight="1">
      <c r="A65" s="11" t="str">
        <f>'01_KeHoach'!A65</f>
        <v>WBS-5.13</v>
      </c>
      <c r="B65" s="7" t="str">
        <f>'01_KeHoach'!C65</f>
        <v>W9</v>
      </c>
      <c r="C65" s="7" t="str">
        <f>'01_KeHoach'!B65</f>
        <v>Test từng hop</v>
      </c>
      <c r="D65" s="7" t="str">
        <f>'01_KeHoach'!D65</f>
        <v>Pre-check và backup checkpoint H3</v>
      </c>
      <c r="E65" s="15">
        <f>'01_KeHoach'!G65</f>
        <v>46314</v>
      </c>
      <c r="F65" s="15">
        <f>'01_KeHoach'!H65</f>
        <v>46314</v>
      </c>
      <c r="G65" s="18" t="str">
        <f t="shared" si="25"/>
        <v/>
      </c>
      <c r="H65" s="18" t="str">
        <f t="shared" si="25"/>
        <v/>
      </c>
      <c r="I65" s="18" t="str">
        <f t="shared" si="25"/>
        <v/>
      </c>
      <c r="J65" s="18" t="str">
        <f t="shared" si="25"/>
        <v/>
      </c>
      <c r="K65" s="18" t="str">
        <f t="shared" si="25"/>
        <v/>
      </c>
      <c r="L65" s="18" t="str">
        <f t="shared" si="25"/>
        <v/>
      </c>
      <c r="M65" s="18" t="str">
        <f t="shared" si="25"/>
        <v/>
      </c>
      <c r="N65" s="18" t="str">
        <f t="shared" si="25"/>
        <v/>
      </c>
      <c r="O65" s="18" t="str">
        <f t="shared" si="25"/>
        <v/>
      </c>
      <c r="P65" s="18" t="str">
        <f t="shared" si="25"/>
        <v/>
      </c>
      <c r="Q65" s="18" t="str">
        <f t="shared" si="26"/>
        <v/>
      </c>
      <c r="R65" s="18" t="str">
        <f t="shared" si="26"/>
        <v/>
      </c>
      <c r="S65" s="18" t="str">
        <f t="shared" si="26"/>
        <v/>
      </c>
      <c r="T65" s="18" t="str">
        <f t="shared" si="26"/>
        <v/>
      </c>
      <c r="U65" s="18" t="str">
        <f t="shared" si="26"/>
        <v/>
      </c>
      <c r="V65" s="18" t="str">
        <f t="shared" si="26"/>
        <v/>
      </c>
      <c r="W65" s="18" t="str">
        <f t="shared" si="26"/>
        <v/>
      </c>
      <c r="X65" s="18" t="str">
        <f t="shared" si="26"/>
        <v/>
      </c>
      <c r="Y65" s="18" t="str">
        <f t="shared" si="26"/>
        <v/>
      </c>
      <c r="Z65" s="18" t="str">
        <f t="shared" si="26"/>
        <v/>
      </c>
      <c r="AA65" s="18" t="str">
        <f t="shared" si="27"/>
        <v/>
      </c>
      <c r="AB65" s="18" t="str">
        <f t="shared" si="27"/>
        <v/>
      </c>
      <c r="AC65" s="18" t="str">
        <f t="shared" si="27"/>
        <v/>
      </c>
      <c r="AD65" s="18" t="str">
        <f t="shared" si="27"/>
        <v/>
      </c>
      <c r="AE65" s="18" t="str">
        <f t="shared" si="27"/>
        <v/>
      </c>
      <c r="AF65" s="18" t="str">
        <f t="shared" si="27"/>
        <v/>
      </c>
      <c r="AG65" s="18" t="str">
        <f t="shared" si="27"/>
        <v/>
      </c>
      <c r="AH65" s="18" t="str">
        <f t="shared" si="27"/>
        <v/>
      </c>
      <c r="AI65" s="18" t="str">
        <f t="shared" si="27"/>
        <v/>
      </c>
      <c r="AJ65" s="18" t="str">
        <f t="shared" si="27"/>
        <v/>
      </c>
      <c r="AK65" s="19" t="str">
        <f t="shared" si="28"/>
        <v/>
      </c>
      <c r="AL65" s="19" t="str">
        <f t="shared" si="28"/>
        <v/>
      </c>
      <c r="AM65" s="19" t="str">
        <f t="shared" si="28"/>
        <v/>
      </c>
      <c r="AN65" s="19" t="str">
        <f t="shared" si="28"/>
        <v/>
      </c>
      <c r="AO65" s="19" t="str">
        <f t="shared" si="28"/>
        <v/>
      </c>
      <c r="AP65" s="19" t="str">
        <f t="shared" si="28"/>
        <v/>
      </c>
      <c r="AQ65" s="19" t="str">
        <f t="shared" si="28"/>
        <v/>
      </c>
      <c r="AR65" s="19" t="str">
        <f t="shared" si="28"/>
        <v/>
      </c>
      <c r="AS65" s="19" t="str">
        <f t="shared" si="28"/>
        <v/>
      </c>
      <c r="AT65" s="19" t="str">
        <f t="shared" si="28"/>
        <v/>
      </c>
      <c r="AU65" s="19" t="str">
        <f t="shared" si="29"/>
        <v>■</v>
      </c>
      <c r="AV65" s="19" t="str">
        <f t="shared" si="29"/>
        <v/>
      </c>
      <c r="AW65" s="19" t="str">
        <f t="shared" si="29"/>
        <v/>
      </c>
      <c r="AX65" s="19" t="str">
        <f t="shared" si="29"/>
        <v/>
      </c>
      <c r="AY65" s="19" t="str">
        <f t="shared" si="29"/>
        <v/>
      </c>
      <c r="AZ65" s="19" t="str">
        <f t="shared" si="29"/>
        <v/>
      </c>
      <c r="BA65" s="19" t="str">
        <f t="shared" si="29"/>
        <v/>
      </c>
      <c r="BB65" s="19" t="str">
        <f t="shared" si="29"/>
        <v/>
      </c>
      <c r="BC65" s="19" t="str">
        <f t="shared" si="29"/>
        <v/>
      </c>
      <c r="BD65" s="19" t="str">
        <f t="shared" si="29"/>
        <v/>
      </c>
    </row>
    <row r="66" spans="1:56" ht="24" customHeight="1">
      <c r="A66" s="11" t="str">
        <f>'01_KeHoach'!A66</f>
        <v>WBS-5.14</v>
      </c>
      <c r="B66" s="7" t="str">
        <f>'01_KeHoach'!C66</f>
        <v>W9</v>
      </c>
      <c r="C66" s="7" t="str">
        <f>'01_KeHoach'!B66</f>
        <v>Test từng hop</v>
      </c>
      <c r="D66" s="7" t="str">
        <f>'01_KeHoach'!D66</f>
        <v>Rolling upgrade H3 dưới IO liên tục</v>
      </c>
      <c r="E66" s="15">
        <f>'01_KeHoach'!G66</f>
        <v>46315</v>
      </c>
      <c r="F66" s="15">
        <f>'01_KeHoach'!H66</f>
        <v>46315</v>
      </c>
      <c r="G66" s="18" t="str">
        <f t="shared" ref="G66:P75" si="30">IF(AND(G$5&gt;=$E66,G$5&lt;=$F66),"■","")</f>
        <v/>
      </c>
      <c r="H66" s="18" t="str">
        <f t="shared" si="30"/>
        <v/>
      </c>
      <c r="I66" s="18" t="str">
        <f t="shared" si="30"/>
        <v/>
      </c>
      <c r="J66" s="18" t="str">
        <f t="shared" si="30"/>
        <v/>
      </c>
      <c r="K66" s="18" t="str">
        <f t="shared" si="30"/>
        <v/>
      </c>
      <c r="L66" s="18" t="str">
        <f t="shared" si="30"/>
        <v/>
      </c>
      <c r="M66" s="18" t="str">
        <f t="shared" si="30"/>
        <v/>
      </c>
      <c r="N66" s="18" t="str">
        <f t="shared" si="30"/>
        <v/>
      </c>
      <c r="O66" s="18" t="str">
        <f t="shared" si="30"/>
        <v/>
      </c>
      <c r="P66" s="18" t="str">
        <f t="shared" si="30"/>
        <v/>
      </c>
      <c r="Q66" s="18" t="str">
        <f t="shared" ref="Q66:Z75" si="31">IF(AND(Q$5&gt;=$E66,Q$5&lt;=$F66),"■","")</f>
        <v/>
      </c>
      <c r="R66" s="18" t="str">
        <f t="shared" si="31"/>
        <v/>
      </c>
      <c r="S66" s="18" t="str">
        <f t="shared" si="31"/>
        <v/>
      </c>
      <c r="T66" s="18" t="str">
        <f t="shared" si="31"/>
        <v/>
      </c>
      <c r="U66" s="18" t="str">
        <f t="shared" si="31"/>
        <v/>
      </c>
      <c r="V66" s="18" t="str">
        <f t="shared" si="31"/>
        <v/>
      </c>
      <c r="W66" s="18" t="str">
        <f t="shared" si="31"/>
        <v/>
      </c>
      <c r="X66" s="18" t="str">
        <f t="shared" si="31"/>
        <v/>
      </c>
      <c r="Y66" s="18" t="str">
        <f t="shared" si="31"/>
        <v/>
      </c>
      <c r="Z66" s="18" t="str">
        <f t="shared" si="31"/>
        <v/>
      </c>
      <c r="AA66" s="18" t="str">
        <f t="shared" ref="AA66:AJ75" si="32">IF(AND(AA$5&gt;=$E66,AA$5&lt;=$F66),"■","")</f>
        <v/>
      </c>
      <c r="AB66" s="18" t="str">
        <f t="shared" si="32"/>
        <v/>
      </c>
      <c r="AC66" s="18" t="str">
        <f t="shared" si="32"/>
        <v/>
      </c>
      <c r="AD66" s="18" t="str">
        <f t="shared" si="32"/>
        <v/>
      </c>
      <c r="AE66" s="18" t="str">
        <f t="shared" si="32"/>
        <v/>
      </c>
      <c r="AF66" s="18" t="str">
        <f t="shared" si="32"/>
        <v/>
      </c>
      <c r="AG66" s="18" t="str">
        <f t="shared" si="32"/>
        <v/>
      </c>
      <c r="AH66" s="18" t="str">
        <f t="shared" si="32"/>
        <v/>
      </c>
      <c r="AI66" s="18" t="str">
        <f t="shared" si="32"/>
        <v/>
      </c>
      <c r="AJ66" s="18" t="str">
        <f t="shared" si="32"/>
        <v/>
      </c>
      <c r="AK66" s="19" t="str">
        <f t="shared" ref="AK66:AT75" si="33">IF(AND(AK$5&gt;=$E66,AK$5&lt;=$F66),"■","")</f>
        <v/>
      </c>
      <c r="AL66" s="19" t="str">
        <f t="shared" si="33"/>
        <v/>
      </c>
      <c r="AM66" s="19" t="str">
        <f t="shared" si="33"/>
        <v/>
      </c>
      <c r="AN66" s="19" t="str">
        <f t="shared" si="33"/>
        <v/>
      </c>
      <c r="AO66" s="19" t="str">
        <f t="shared" si="33"/>
        <v/>
      </c>
      <c r="AP66" s="19" t="str">
        <f t="shared" si="33"/>
        <v/>
      </c>
      <c r="AQ66" s="19" t="str">
        <f t="shared" si="33"/>
        <v/>
      </c>
      <c r="AR66" s="19" t="str">
        <f t="shared" si="33"/>
        <v/>
      </c>
      <c r="AS66" s="19" t="str">
        <f t="shared" si="33"/>
        <v/>
      </c>
      <c r="AT66" s="19" t="str">
        <f t="shared" si="33"/>
        <v/>
      </c>
      <c r="AU66" s="19" t="str">
        <f t="shared" ref="AU66:BD75" si="34">IF(AND(AU$5&gt;=$E66,AU$5&lt;=$F66),"■","")</f>
        <v/>
      </c>
      <c r="AV66" s="19" t="str">
        <f t="shared" si="34"/>
        <v>■</v>
      </c>
      <c r="AW66" s="19" t="str">
        <f t="shared" si="34"/>
        <v/>
      </c>
      <c r="AX66" s="19" t="str">
        <f t="shared" si="34"/>
        <v/>
      </c>
      <c r="AY66" s="19" t="str">
        <f t="shared" si="34"/>
        <v/>
      </c>
      <c r="AZ66" s="19" t="str">
        <f t="shared" si="34"/>
        <v/>
      </c>
      <c r="BA66" s="19" t="str">
        <f t="shared" si="34"/>
        <v/>
      </c>
      <c r="BB66" s="19" t="str">
        <f t="shared" si="34"/>
        <v/>
      </c>
      <c r="BC66" s="19" t="str">
        <f t="shared" si="34"/>
        <v/>
      </c>
      <c r="BD66" s="19" t="str">
        <f t="shared" si="34"/>
        <v/>
      </c>
    </row>
    <row r="67" spans="1:56" ht="24" customHeight="1">
      <c r="A67" s="11" t="str">
        <f>'01_KeHoach'!A67</f>
        <v>WBS-5.15</v>
      </c>
      <c r="B67" s="7" t="str">
        <f>'01_KeHoach'!C67</f>
        <v>W9</v>
      </c>
      <c r="C67" s="7" t="str">
        <f>'01_KeHoach'!B67</f>
        <v>Test từng hop</v>
      </c>
      <c r="D67" s="7" t="str">
        <f>'01_KeHoach'!D67</f>
        <v>Giám sát H3 theo batch/daemon</v>
      </c>
      <c r="E67" s="15">
        <f>'01_KeHoach'!G67</f>
        <v>46315</v>
      </c>
      <c r="F67" s="15">
        <f>'01_KeHoach'!H67</f>
        <v>46316</v>
      </c>
      <c r="G67" s="18" t="str">
        <f t="shared" si="30"/>
        <v/>
      </c>
      <c r="H67" s="18" t="str">
        <f t="shared" si="30"/>
        <v/>
      </c>
      <c r="I67" s="18" t="str">
        <f t="shared" si="30"/>
        <v/>
      </c>
      <c r="J67" s="18" t="str">
        <f t="shared" si="30"/>
        <v/>
      </c>
      <c r="K67" s="18" t="str">
        <f t="shared" si="30"/>
        <v/>
      </c>
      <c r="L67" s="18" t="str">
        <f t="shared" si="30"/>
        <v/>
      </c>
      <c r="M67" s="18" t="str">
        <f t="shared" si="30"/>
        <v/>
      </c>
      <c r="N67" s="18" t="str">
        <f t="shared" si="30"/>
        <v/>
      </c>
      <c r="O67" s="18" t="str">
        <f t="shared" si="30"/>
        <v/>
      </c>
      <c r="P67" s="18" t="str">
        <f t="shared" si="30"/>
        <v/>
      </c>
      <c r="Q67" s="18" t="str">
        <f t="shared" si="31"/>
        <v/>
      </c>
      <c r="R67" s="18" t="str">
        <f t="shared" si="31"/>
        <v/>
      </c>
      <c r="S67" s="18" t="str">
        <f t="shared" si="31"/>
        <v/>
      </c>
      <c r="T67" s="18" t="str">
        <f t="shared" si="31"/>
        <v/>
      </c>
      <c r="U67" s="18" t="str">
        <f t="shared" si="31"/>
        <v/>
      </c>
      <c r="V67" s="18" t="str">
        <f t="shared" si="31"/>
        <v/>
      </c>
      <c r="W67" s="18" t="str">
        <f t="shared" si="31"/>
        <v/>
      </c>
      <c r="X67" s="18" t="str">
        <f t="shared" si="31"/>
        <v/>
      </c>
      <c r="Y67" s="18" t="str">
        <f t="shared" si="31"/>
        <v/>
      </c>
      <c r="Z67" s="18" t="str">
        <f t="shared" si="31"/>
        <v/>
      </c>
      <c r="AA67" s="18" t="str">
        <f t="shared" si="32"/>
        <v/>
      </c>
      <c r="AB67" s="18" t="str">
        <f t="shared" si="32"/>
        <v/>
      </c>
      <c r="AC67" s="18" t="str">
        <f t="shared" si="32"/>
        <v/>
      </c>
      <c r="AD67" s="18" t="str">
        <f t="shared" si="32"/>
        <v/>
      </c>
      <c r="AE67" s="18" t="str">
        <f t="shared" si="32"/>
        <v/>
      </c>
      <c r="AF67" s="18" t="str">
        <f t="shared" si="32"/>
        <v/>
      </c>
      <c r="AG67" s="18" t="str">
        <f t="shared" si="32"/>
        <v/>
      </c>
      <c r="AH67" s="18" t="str">
        <f t="shared" si="32"/>
        <v/>
      </c>
      <c r="AI67" s="18" t="str">
        <f t="shared" si="32"/>
        <v/>
      </c>
      <c r="AJ67" s="18" t="str">
        <f t="shared" si="32"/>
        <v/>
      </c>
      <c r="AK67" s="19" t="str">
        <f t="shared" si="33"/>
        <v/>
      </c>
      <c r="AL67" s="19" t="str">
        <f t="shared" si="33"/>
        <v/>
      </c>
      <c r="AM67" s="19" t="str">
        <f t="shared" si="33"/>
        <v/>
      </c>
      <c r="AN67" s="19" t="str">
        <f t="shared" si="33"/>
        <v/>
      </c>
      <c r="AO67" s="19" t="str">
        <f t="shared" si="33"/>
        <v/>
      </c>
      <c r="AP67" s="19" t="str">
        <f t="shared" si="33"/>
        <v/>
      </c>
      <c r="AQ67" s="19" t="str">
        <f t="shared" si="33"/>
        <v/>
      </c>
      <c r="AR67" s="19" t="str">
        <f t="shared" si="33"/>
        <v/>
      </c>
      <c r="AS67" s="19" t="str">
        <f t="shared" si="33"/>
        <v/>
      </c>
      <c r="AT67" s="19" t="str">
        <f t="shared" si="33"/>
        <v/>
      </c>
      <c r="AU67" s="19" t="str">
        <f t="shared" si="34"/>
        <v/>
      </c>
      <c r="AV67" s="19" t="str">
        <f t="shared" si="34"/>
        <v>■</v>
      </c>
      <c r="AW67" s="19" t="str">
        <f t="shared" si="34"/>
        <v>■</v>
      </c>
      <c r="AX67" s="19" t="str">
        <f t="shared" si="34"/>
        <v/>
      </c>
      <c r="AY67" s="19" t="str">
        <f t="shared" si="34"/>
        <v/>
      </c>
      <c r="AZ67" s="19" t="str">
        <f t="shared" si="34"/>
        <v/>
      </c>
      <c r="BA67" s="19" t="str">
        <f t="shared" si="34"/>
        <v/>
      </c>
      <c r="BB67" s="19" t="str">
        <f t="shared" si="34"/>
        <v/>
      </c>
      <c r="BC67" s="19" t="str">
        <f t="shared" si="34"/>
        <v/>
      </c>
      <c r="BD67" s="19" t="str">
        <f t="shared" si="34"/>
        <v/>
      </c>
    </row>
    <row r="68" spans="1:56" ht="24" customHeight="1">
      <c r="A68" s="11" t="str">
        <f>'01_KeHoach'!A68</f>
        <v>WBS-5.16</v>
      </c>
      <c r="B68" s="7" t="str">
        <f>'01_KeHoach'!C68</f>
        <v>W9</v>
      </c>
      <c r="C68" s="7" t="str">
        <f>'01_KeHoach'!B68</f>
        <v>Test từng hop</v>
      </c>
      <c r="D68" s="7" t="str">
        <f>'01_KeHoach'!D68</f>
        <v>Post-check, functional và integrity H3</v>
      </c>
      <c r="E68" s="15">
        <f>'01_KeHoach'!G68</f>
        <v>46316</v>
      </c>
      <c r="F68" s="15">
        <f>'01_KeHoach'!H68</f>
        <v>46316</v>
      </c>
      <c r="G68" s="18" t="str">
        <f t="shared" si="30"/>
        <v/>
      </c>
      <c r="H68" s="18" t="str">
        <f t="shared" si="30"/>
        <v/>
      </c>
      <c r="I68" s="18" t="str">
        <f t="shared" si="30"/>
        <v/>
      </c>
      <c r="J68" s="18" t="str">
        <f t="shared" si="30"/>
        <v/>
      </c>
      <c r="K68" s="18" t="str">
        <f t="shared" si="30"/>
        <v/>
      </c>
      <c r="L68" s="18" t="str">
        <f t="shared" si="30"/>
        <v/>
      </c>
      <c r="M68" s="18" t="str">
        <f t="shared" si="30"/>
        <v/>
      </c>
      <c r="N68" s="18" t="str">
        <f t="shared" si="30"/>
        <v/>
      </c>
      <c r="O68" s="18" t="str">
        <f t="shared" si="30"/>
        <v/>
      </c>
      <c r="P68" s="18" t="str">
        <f t="shared" si="30"/>
        <v/>
      </c>
      <c r="Q68" s="18" t="str">
        <f t="shared" si="31"/>
        <v/>
      </c>
      <c r="R68" s="18" t="str">
        <f t="shared" si="31"/>
        <v/>
      </c>
      <c r="S68" s="18" t="str">
        <f t="shared" si="31"/>
        <v/>
      </c>
      <c r="T68" s="18" t="str">
        <f t="shared" si="31"/>
        <v/>
      </c>
      <c r="U68" s="18" t="str">
        <f t="shared" si="31"/>
        <v/>
      </c>
      <c r="V68" s="18" t="str">
        <f t="shared" si="31"/>
        <v/>
      </c>
      <c r="W68" s="18" t="str">
        <f t="shared" si="31"/>
        <v/>
      </c>
      <c r="X68" s="18" t="str">
        <f t="shared" si="31"/>
        <v/>
      </c>
      <c r="Y68" s="18" t="str">
        <f t="shared" si="31"/>
        <v/>
      </c>
      <c r="Z68" s="18" t="str">
        <f t="shared" si="31"/>
        <v/>
      </c>
      <c r="AA68" s="18" t="str">
        <f t="shared" si="32"/>
        <v/>
      </c>
      <c r="AB68" s="18" t="str">
        <f t="shared" si="32"/>
        <v/>
      </c>
      <c r="AC68" s="18" t="str">
        <f t="shared" si="32"/>
        <v/>
      </c>
      <c r="AD68" s="18" t="str">
        <f t="shared" si="32"/>
        <v/>
      </c>
      <c r="AE68" s="18" t="str">
        <f t="shared" si="32"/>
        <v/>
      </c>
      <c r="AF68" s="18" t="str">
        <f t="shared" si="32"/>
        <v/>
      </c>
      <c r="AG68" s="18" t="str">
        <f t="shared" si="32"/>
        <v/>
      </c>
      <c r="AH68" s="18" t="str">
        <f t="shared" si="32"/>
        <v/>
      </c>
      <c r="AI68" s="18" t="str">
        <f t="shared" si="32"/>
        <v/>
      </c>
      <c r="AJ68" s="18" t="str">
        <f t="shared" si="32"/>
        <v/>
      </c>
      <c r="AK68" s="19" t="str">
        <f t="shared" si="33"/>
        <v/>
      </c>
      <c r="AL68" s="19" t="str">
        <f t="shared" si="33"/>
        <v/>
      </c>
      <c r="AM68" s="19" t="str">
        <f t="shared" si="33"/>
        <v/>
      </c>
      <c r="AN68" s="19" t="str">
        <f t="shared" si="33"/>
        <v/>
      </c>
      <c r="AO68" s="19" t="str">
        <f t="shared" si="33"/>
        <v/>
      </c>
      <c r="AP68" s="19" t="str">
        <f t="shared" si="33"/>
        <v/>
      </c>
      <c r="AQ68" s="19" t="str">
        <f t="shared" si="33"/>
        <v/>
      </c>
      <c r="AR68" s="19" t="str">
        <f t="shared" si="33"/>
        <v/>
      </c>
      <c r="AS68" s="19" t="str">
        <f t="shared" si="33"/>
        <v/>
      </c>
      <c r="AT68" s="19" t="str">
        <f t="shared" si="33"/>
        <v/>
      </c>
      <c r="AU68" s="19" t="str">
        <f t="shared" si="34"/>
        <v/>
      </c>
      <c r="AV68" s="19" t="str">
        <f t="shared" si="34"/>
        <v/>
      </c>
      <c r="AW68" s="19" t="str">
        <f t="shared" si="34"/>
        <v>■</v>
      </c>
      <c r="AX68" s="19" t="str">
        <f t="shared" si="34"/>
        <v/>
      </c>
      <c r="AY68" s="19" t="str">
        <f t="shared" si="34"/>
        <v/>
      </c>
      <c r="AZ68" s="19" t="str">
        <f t="shared" si="34"/>
        <v/>
      </c>
      <c r="BA68" s="19" t="str">
        <f t="shared" si="34"/>
        <v/>
      </c>
      <c r="BB68" s="19" t="str">
        <f t="shared" si="34"/>
        <v/>
      </c>
      <c r="BC68" s="19" t="str">
        <f t="shared" si="34"/>
        <v/>
      </c>
      <c r="BD68" s="19" t="str">
        <f t="shared" si="34"/>
        <v/>
      </c>
    </row>
    <row r="69" spans="1:56" ht="24" customHeight="1">
      <c r="A69" s="11" t="str">
        <f>'01_KeHoach'!A69</f>
        <v>WBS-5.17</v>
      </c>
      <c r="B69" s="7" t="str">
        <f>'01_KeHoach'!C69</f>
        <v>W9</v>
      </c>
      <c r="C69" s="7" t="str">
        <f>'01_KeHoach'!B69</f>
        <v>Test từng hop</v>
      </c>
      <c r="D69" s="7" t="str">
        <f>'01_KeHoach'!D69</f>
        <v>Final soak target</v>
      </c>
      <c r="E69" s="15">
        <f>'01_KeHoach'!G69</f>
        <v>46316</v>
      </c>
      <c r="F69" s="15">
        <f>'01_KeHoach'!H69</f>
        <v>46318</v>
      </c>
      <c r="G69" s="18" t="str">
        <f t="shared" si="30"/>
        <v/>
      </c>
      <c r="H69" s="18" t="str">
        <f t="shared" si="30"/>
        <v/>
      </c>
      <c r="I69" s="18" t="str">
        <f t="shared" si="30"/>
        <v/>
      </c>
      <c r="J69" s="18" t="str">
        <f t="shared" si="30"/>
        <v/>
      </c>
      <c r="K69" s="18" t="str">
        <f t="shared" si="30"/>
        <v/>
      </c>
      <c r="L69" s="18" t="str">
        <f t="shared" si="30"/>
        <v/>
      </c>
      <c r="M69" s="18" t="str">
        <f t="shared" si="30"/>
        <v/>
      </c>
      <c r="N69" s="18" t="str">
        <f t="shared" si="30"/>
        <v/>
      </c>
      <c r="O69" s="18" t="str">
        <f t="shared" si="30"/>
        <v/>
      </c>
      <c r="P69" s="18" t="str">
        <f t="shared" si="30"/>
        <v/>
      </c>
      <c r="Q69" s="18" t="str">
        <f t="shared" si="31"/>
        <v/>
      </c>
      <c r="R69" s="18" t="str">
        <f t="shared" si="31"/>
        <v/>
      </c>
      <c r="S69" s="18" t="str">
        <f t="shared" si="31"/>
        <v/>
      </c>
      <c r="T69" s="18" t="str">
        <f t="shared" si="31"/>
        <v/>
      </c>
      <c r="U69" s="18" t="str">
        <f t="shared" si="31"/>
        <v/>
      </c>
      <c r="V69" s="18" t="str">
        <f t="shared" si="31"/>
        <v/>
      </c>
      <c r="W69" s="18" t="str">
        <f t="shared" si="31"/>
        <v/>
      </c>
      <c r="X69" s="18" t="str">
        <f t="shared" si="31"/>
        <v/>
      </c>
      <c r="Y69" s="18" t="str">
        <f t="shared" si="31"/>
        <v/>
      </c>
      <c r="Z69" s="18" t="str">
        <f t="shared" si="31"/>
        <v/>
      </c>
      <c r="AA69" s="18" t="str">
        <f t="shared" si="32"/>
        <v/>
      </c>
      <c r="AB69" s="18" t="str">
        <f t="shared" si="32"/>
        <v/>
      </c>
      <c r="AC69" s="18" t="str">
        <f t="shared" si="32"/>
        <v/>
      </c>
      <c r="AD69" s="18" t="str">
        <f t="shared" si="32"/>
        <v/>
      </c>
      <c r="AE69" s="18" t="str">
        <f t="shared" si="32"/>
        <v/>
      </c>
      <c r="AF69" s="18" t="str">
        <f t="shared" si="32"/>
        <v/>
      </c>
      <c r="AG69" s="18" t="str">
        <f t="shared" si="32"/>
        <v/>
      </c>
      <c r="AH69" s="18" t="str">
        <f t="shared" si="32"/>
        <v/>
      </c>
      <c r="AI69" s="18" t="str">
        <f t="shared" si="32"/>
        <v/>
      </c>
      <c r="AJ69" s="18" t="str">
        <f t="shared" si="32"/>
        <v/>
      </c>
      <c r="AK69" s="19" t="str">
        <f t="shared" si="33"/>
        <v/>
      </c>
      <c r="AL69" s="19" t="str">
        <f t="shared" si="33"/>
        <v/>
      </c>
      <c r="AM69" s="19" t="str">
        <f t="shared" si="33"/>
        <v/>
      </c>
      <c r="AN69" s="19" t="str">
        <f t="shared" si="33"/>
        <v/>
      </c>
      <c r="AO69" s="19" t="str">
        <f t="shared" si="33"/>
        <v/>
      </c>
      <c r="AP69" s="19" t="str">
        <f t="shared" si="33"/>
        <v/>
      </c>
      <c r="AQ69" s="19" t="str">
        <f t="shared" si="33"/>
        <v/>
      </c>
      <c r="AR69" s="19" t="str">
        <f t="shared" si="33"/>
        <v/>
      </c>
      <c r="AS69" s="19" t="str">
        <f t="shared" si="33"/>
        <v/>
      </c>
      <c r="AT69" s="19" t="str">
        <f t="shared" si="33"/>
        <v/>
      </c>
      <c r="AU69" s="19" t="str">
        <f t="shared" si="34"/>
        <v/>
      </c>
      <c r="AV69" s="19" t="str">
        <f t="shared" si="34"/>
        <v/>
      </c>
      <c r="AW69" s="19" t="str">
        <f t="shared" si="34"/>
        <v>■</v>
      </c>
      <c r="AX69" s="19" t="str">
        <f t="shared" si="34"/>
        <v>■</v>
      </c>
      <c r="AY69" s="19" t="str">
        <f t="shared" si="34"/>
        <v>■</v>
      </c>
      <c r="AZ69" s="19" t="str">
        <f t="shared" si="34"/>
        <v/>
      </c>
      <c r="BA69" s="19" t="str">
        <f t="shared" si="34"/>
        <v/>
      </c>
      <c r="BB69" s="19" t="str">
        <f t="shared" si="34"/>
        <v/>
      </c>
      <c r="BC69" s="19" t="str">
        <f t="shared" si="34"/>
        <v/>
      </c>
      <c r="BD69" s="19" t="str">
        <f t="shared" si="34"/>
        <v/>
      </c>
    </row>
    <row r="70" spans="1:56" ht="24" customHeight="1">
      <c r="A70" s="11" t="str">
        <f>'01_KeHoach'!A70</f>
        <v>WBS-5.18</v>
      </c>
      <c r="B70" s="7" t="str">
        <f>'01_KeHoach'!C70</f>
        <v>W9</v>
      </c>
      <c r="C70" s="7" t="str">
        <f>'01_KeHoach'!B70</f>
        <v>Test từng hop</v>
      </c>
      <c r="D70" s="7" t="str">
        <f>'01_KeHoach'!D70</f>
        <v>Exit Gate H3</v>
      </c>
      <c r="E70" s="15">
        <f>'01_KeHoach'!G70</f>
        <v>46318</v>
      </c>
      <c r="F70" s="15">
        <f>'01_KeHoach'!H70</f>
        <v>46318</v>
      </c>
      <c r="G70" s="18" t="str">
        <f t="shared" si="30"/>
        <v/>
      </c>
      <c r="H70" s="18" t="str">
        <f t="shared" si="30"/>
        <v/>
      </c>
      <c r="I70" s="18" t="str">
        <f t="shared" si="30"/>
        <v/>
      </c>
      <c r="J70" s="18" t="str">
        <f t="shared" si="30"/>
        <v/>
      </c>
      <c r="K70" s="18" t="str">
        <f t="shared" si="30"/>
        <v/>
      </c>
      <c r="L70" s="18" t="str">
        <f t="shared" si="30"/>
        <v/>
      </c>
      <c r="M70" s="18" t="str">
        <f t="shared" si="30"/>
        <v/>
      </c>
      <c r="N70" s="18" t="str">
        <f t="shared" si="30"/>
        <v/>
      </c>
      <c r="O70" s="18" t="str">
        <f t="shared" si="30"/>
        <v/>
      </c>
      <c r="P70" s="18" t="str">
        <f t="shared" si="30"/>
        <v/>
      </c>
      <c r="Q70" s="18" t="str">
        <f t="shared" si="31"/>
        <v/>
      </c>
      <c r="R70" s="18" t="str">
        <f t="shared" si="31"/>
        <v/>
      </c>
      <c r="S70" s="18" t="str">
        <f t="shared" si="31"/>
        <v/>
      </c>
      <c r="T70" s="18" t="str">
        <f t="shared" si="31"/>
        <v/>
      </c>
      <c r="U70" s="18" t="str">
        <f t="shared" si="31"/>
        <v/>
      </c>
      <c r="V70" s="18" t="str">
        <f t="shared" si="31"/>
        <v/>
      </c>
      <c r="W70" s="18" t="str">
        <f t="shared" si="31"/>
        <v/>
      </c>
      <c r="X70" s="18" t="str">
        <f t="shared" si="31"/>
        <v/>
      </c>
      <c r="Y70" s="18" t="str">
        <f t="shared" si="31"/>
        <v/>
      </c>
      <c r="Z70" s="18" t="str">
        <f t="shared" si="31"/>
        <v/>
      </c>
      <c r="AA70" s="18" t="str">
        <f t="shared" si="32"/>
        <v/>
      </c>
      <c r="AB70" s="18" t="str">
        <f t="shared" si="32"/>
        <v/>
      </c>
      <c r="AC70" s="18" t="str">
        <f t="shared" si="32"/>
        <v/>
      </c>
      <c r="AD70" s="18" t="str">
        <f t="shared" si="32"/>
        <v/>
      </c>
      <c r="AE70" s="18" t="str">
        <f t="shared" si="32"/>
        <v/>
      </c>
      <c r="AF70" s="18" t="str">
        <f t="shared" si="32"/>
        <v/>
      </c>
      <c r="AG70" s="18" t="str">
        <f t="shared" si="32"/>
        <v/>
      </c>
      <c r="AH70" s="18" t="str">
        <f t="shared" si="32"/>
        <v/>
      </c>
      <c r="AI70" s="18" t="str">
        <f t="shared" si="32"/>
        <v/>
      </c>
      <c r="AJ70" s="18" t="str">
        <f t="shared" si="32"/>
        <v/>
      </c>
      <c r="AK70" s="19" t="str">
        <f t="shared" si="33"/>
        <v/>
      </c>
      <c r="AL70" s="19" t="str">
        <f t="shared" si="33"/>
        <v/>
      </c>
      <c r="AM70" s="19" t="str">
        <f t="shared" si="33"/>
        <v/>
      </c>
      <c r="AN70" s="19" t="str">
        <f t="shared" si="33"/>
        <v/>
      </c>
      <c r="AO70" s="19" t="str">
        <f t="shared" si="33"/>
        <v/>
      </c>
      <c r="AP70" s="19" t="str">
        <f t="shared" si="33"/>
        <v/>
      </c>
      <c r="AQ70" s="19" t="str">
        <f t="shared" si="33"/>
        <v/>
      </c>
      <c r="AR70" s="19" t="str">
        <f t="shared" si="33"/>
        <v/>
      </c>
      <c r="AS70" s="19" t="str">
        <f t="shared" si="33"/>
        <v/>
      </c>
      <c r="AT70" s="19" t="str">
        <f t="shared" si="33"/>
        <v/>
      </c>
      <c r="AU70" s="19" t="str">
        <f t="shared" si="34"/>
        <v/>
      </c>
      <c r="AV70" s="19" t="str">
        <f t="shared" si="34"/>
        <v/>
      </c>
      <c r="AW70" s="19" t="str">
        <f t="shared" si="34"/>
        <v/>
      </c>
      <c r="AX70" s="19" t="str">
        <f t="shared" si="34"/>
        <v/>
      </c>
      <c r="AY70" s="19" t="str">
        <f t="shared" si="34"/>
        <v>■</v>
      </c>
      <c r="AZ70" s="19" t="str">
        <f t="shared" si="34"/>
        <v/>
      </c>
      <c r="BA70" s="19" t="str">
        <f t="shared" si="34"/>
        <v/>
      </c>
      <c r="BB70" s="19" t="str">
        <f t="shared" si="34"/>
        <v/>
      </c>
      <c r="BC70" s="19" t="str">
        <f t="shared" si="34"/>
        <v/>
      </c>
      <c r="BD70" s="19" t="str">
        <f t="shared" si="34"/>
        <v/>
      </c>
    </row>
    <row r="71" spans="1:56" ht="24" customHeight="1">
      <c r="A71" s="11" t="str">
        <f>'01_KeHoach'!A71</f>
        <v>WBS-6.1</v>
      </c>
      <c r="B71" s="7" t="str">
        <f>'01_KeHoach'!C71</f>
        <v>W10</v>
      </c>
      <c r="C71" s="7" t="str">
        <f>'01_KeHoach'!B71</f>
        <v>Fault/Failure &amp; Recovery</v>
      </c>
      <c r="D71" s="7" t="str">
        <f>'01_KeHoach'!D71</f>
        <v>Fault test: OSD daemon/disk logical failure</v>
      </c>
      <c r="E71" s="15">
        <f>'01_KeHoach'!G71</f>
        <v>46321</v>
      </c>
      <c r="F71" s="15">
        <f>'01_KeHoach'!H71</f>
        <v>46321</v>
      </c>
      <c r="G71" s="18" t="str">
        <f t="shared" si="30"/>
        <v/>
      </c>
      <c r="H71" s="18" t="str">
        <f t="shared" si="30"/>
        <v/>
      </c>
      <c r="I71" s="18" t="str">
        <f t="shared" si="30"/>
        <v/>
      </c>
      <c r="J71" s="18" t="str">
        <f t="shared" si="30"/>
        <v/>
      </c>
      <c r="K71" s="18" t="str">
        <f t="shared" si="30"/>
        <v/>
      </c>
      <c r="L71" s="18" t="str">
        <f t="shared" si="30"/>
        <v/>
      </c>
      <c r="M71" s="18" t="str">
        <f t="shared" si="30"/>
        <v/>
      </c>
      <c r="N71" s="18" t="str">
        <f t="shared" si="30"/>
        <v/>
      </c>
      <c r="O71" s="18" t="str">
        <f t="shared" si="30"/>
        <v/>
      </c>
      <c r="P71" s="18" t="str">
        <f t="shared" si="30"/>
        <v/>
      </c>
      <c r="Q71" s="18" t="str">
        <f t="shared" si="31"/>
        <v/>
      </c>
      <c r="R71" s="18" t="str">
        <f t="shared" si="31"/>
        <v/>
      </c>
      <c r="S71" s="18" t="str">
        <f t="shared" si="31"/>
        <v/>
      </c>
      <c r="T71" s="18" t="str">
        <f t="shared" si="31"/>
        <v/>
      </c>
      <c r="U71" s="18" t="str">
        <f t="shared" si="31"/>
        <v/>
      </c>
      <c r="V71" s="18" t="str">
        <f t="shared" si="31"/>
        <v/>
      </c>
      <c r="W71" s="18" t="str">
        <f t="shared" si="31"/>
        <v/>
      </c>
      <c r="X71" s="18" t="str">
        <f t="shared" si="31"/>
        <v/>
      </c>
      <c r="Y71" s="18" t="str">
        <f t="shared" si="31"/>
        <v/>
      </c>
      <c r="Z71" s="18" t="str">
        <f t="shared" si="31"/>
        <v/>
      </c>
      <c r="AA71" s="18" t="str">
        <f t="shared" si="32"/>
        <v/>
      </c>
      <c r="AB71" s="18" t="str">
        <f t="shared" si="32"/>
        <v/>
      </c>
      <c r="AC71" s="18" t="str">
        <f t="shared" si="32"/>
        <v/>
      </c>
      <c r="AD71" s="18" t="str">
        <f t="shared" si="32"/>
        <v/>
      </c>
      <c r="AE71" s="18" t="str">
        <f t="shared" si="32"/>
        <v/>
      </c>
      <c r="AF71" s="18" t="str">
        <f t="shared" si="32"/>
        <v/>
      </c>
      <c r="AG71" s="18" t="str">
        <f t="shared" si="32"/>
        <v/>
      </c>
      <c r="AH71" s="18" t="str">
        <f t="shared" si="32"/>
        <v/>
      </c>
      <c r="AI71" s="18" t="str">
        <f t="shared" si="32"/>
        <v/>
      </c>
      <c r="AJ71" s="18" t="str">
        <f t="shared" si="32"/>
        <v/>
      </c>
      <c r="AK71" s="19" t="str">
        <f t="shared" si="33"/>
        <v/>
      </c>
      <c r="AL71" s="19" t="str">
        <f t="shared" si="33"/>
        <v/>
      </c>
      <c r="AM71" s="19" t="str">
        <f t="shared" si="33"/>
        <v/>
      </c>
      <c r="AN71" s="19" t="str">
        <f t="shared" si="33"/>
        <v/>
      </c>
      <c r="AO71" s="19" t="str">
        <f t="shared" si="33"/>
        <v/>
      </c>
      <c r="AP71" s="19" t="str">
        <f t="shared" si="33"/>
        <v/>
      </c>
      <c r="AQ71" s="19" t="str">
        <f t="shared" si="33"/>
        <v/>
      </c>
      <c r="AR71" s="19" t="str">
        <f t="shared" si="33"/>
        <v/>
      </c>
      <c r="AS71" s="19" t="str">
        <f t="shared" si="33"/>
        <v/>
      </c>
      <c r="AT71" s="19" t="str">
        <f t="shared" si="33"/>
        <v/>
      </c>
      <c r="AU71" s="19" t="str">
        <f t="shared" si="34"/>
        <v/>
      </c>
      <c r="AV71" s="19" t="str">
        <f t="shared" si="34"/>
        <v/>
      </c>
      <c r="AW71" s="19" t="str">
        <f t="shared" si="34"/>
        <v/>
      </c>
      <c r="AX71" s="19" t="str">
        <f t="shared" si="34"/>
        <v/>
      </c>
      <c r="AY71" s="19" t="str">
        <f t="shared" si="34"/>
        <v/>
      </c>
      <c r="AZ71" s="19" t="str">
        <f t="shared" si="34"/>
        <v>■</v>
      </c>
      <c r="BA71" s="19" t="str">
        <f t="shared" si="34"/>
        <v/>
      </c>
      <c r="BB71" s="19" t="str">
        <f t="shared" si="34"/>
        <v/>
      </c>
      <c r="BC71" s="19" t="str">
        <f t="shared" si="34"/>
        <v/>
      </c>
      <c r="BD71" s="19" t="str">
        <f t="shared" si="34"/>
        <v/>
      </c>
    </row>
    <row r="72" spans="1:56" ht="24" customHeight="1">
      <c r="A72" s="11" t="str">
        <f>'01_KeHoach'!A72</f>
        <v>WBS-6.2</v>
      </c>
      <c r="B72" s="7" t="str">
        <f>'01_KeHoach'!C72</f>
        <v>W10</v>
      </c>
      <c r="C72" s="7" t="str">
        <f>'01_KeHoach'!B72</f>
        <v>Fault/Failure &amp; Recovery</v>
      </c>
      <c r="D72" s="7" t="str">
        <f>'01_KeHoach'!D72</f>
        <v>Failure test: host failure</v>
      </c>
      <c r="E72" s="15">
        <f>'01_KeHoach'!G72</f>
        <v>46321</v>
      </c>
      <c r="F72" s="15">
        <f>'01_KeHoach'!H72</f>
        <v>46321</v>
      </c>
      <c r="G72" s="18" t="str">
        <f t="shared" si="30"/>
        <v/>
      </c>
      <c r="H72" s="18" t="str">
        <f t="shared" si="30"/>
        <v/>
      </c>
      <c r="I72" s="18" t="str">
        <f t="shared" si="30"/>
        <v/>
      </c>
      <c r="J72" s="18" t="str">
        <f t="shared" si="30"/>
        <v/>
      </c>
      <c r="K72" s="18" t="str">
        <f t="shared" si="30"/>
        <v/>
      </c>
      <c r="L72" s="18" t="str">
        <f t="shared" si="30"/>
        <v/>
      </c>
      <c r="M72" s="18" t="str">
        <f t="shared" si="30"/>
        <v/>
      </c>
      <c r="N72" s="18" t="str">
        <f t="shared" si="30"/>
        <v/>
      </c>
      <c r="O72" s="18" t="str">
        <f t="shared" si="30"/>
        <v/>
      </c>
      <c r="P72" s="18" t="str">
        <f t="shared" si="30"/>
        <v/>
      </c>
      <c r="Q72" s="18" t="str">
        <f t="shared" si="31"/>
        <v/>
      </c>
      <c r="R72" s="18" t="str">
        <f t="shared" si="31"/>
        <v/>
      </c>
      <c r="S72" s="18" t="str">
        <f t="shared" si="31"/>
        <v/>
      </c>
      <c r="T72" s="18" t="str">
        <f t="shared" si="31"/>
        <v/>
      </c>
      <c r="U72" s="18" t="str">
        <f t="shared" si="31"/>
        <v/>
      </c>
      <c r="V72" s="18" t="str">
        <f t="shared" si="31"/>
        <v/>
      </c>
      <c r="W72" s="18" t="str">
        <f t="shared" si="31"/>
        <v/>
      </c>
      <c r="X72" s="18" t="str">
        <f t="shared" si="31"/>
        <v/>
      </c>
      <c r="Y72" s="18" t="str">
        <f t="shared" si="31"/>
        <v/>
      </c>
      <c r="Z72" s="18" t="str">
        <f t="shared" si="31"/>
        <v/>
      </c>
      <c r="AA72" s="18" t="str">
        <f t="shared" si="32"/>
        <v/>
      </c>
      <c r="AB72" s="18" t="str">
        <f t="shared" si="32"/>
        <v/>
      </c>
      <c r="AC72" s="18" t="str">
        <f t="shared" si="32"/>
        <v/>
      </c>
      <c r="AD72" s="18" t="str">
        <f t="shared" si="32"/>
        <v/>
      </c>
      <c r="AE72" s="18" t="str">
        <f t="shared" si="32"/>
        <v/>
      </c>
      <c r="AF72" s="18" t="str">
        <f t="shared" si="32"/>
        <v/>
      </c>
      <c r="AG72" s="18" t="str">
        <f t="shared" si="32"/>
        <v/>
      </c>
      <c r="AH72" s="18" t="str">
        <f t="shared" si="32"/>
        <v/>
      </c>
      <c r="AI72" s="18" t="str">
        <f t="shared" si="32"/>
        <v/>
      </c>
      <c r="AJ72" s="18" t="str">
        <f t="shared" si="32"/>
        <v/>
      </c>
      <c r="AK72" s="19" t="str">
        <f t="shared" si="33"/>
        <v/>
      </c>
      <c r="AL72" s="19" t="str">
        <f t="shared" si="33"/>
        <v/>
      </c>
      <c r="AM72" s="19" t="str">
        <f t="shared" si="33"/>
        <v/>
      </c>
      <c r="AN72" s="19" t="str">
        <f t="shared" si="33"/>
        <v/>
      </c>
      <c r="AO72" s="19" t="str">
        <f t="shared" si="33"/>
        <v/>
      </c>
      <c r="AP72" s="19" t="str">
        <f t="shared" si="33"/>
        <v/>
      </c>
      <c r="AQ72" s="19" t="str">
        <f t="shared" si="33"/>
        <v/>
      </c>
      <c r="AR72" s="19" t="str">
        <f t="shared" si="33"/>
        <v/>
      </c>
      <c r="AS72" s="19" t="str">
        <f t="shared" si="33"/>
        <v/>
      </c>
      <c r="AT72" s="19" t="str">
        <f t="shared" si="33"/>
        <v/>
      </c>
      <c r="AU72" s="19" t="str">
        <f t="shared" si="34"/>
        <v/>
      </c>
      <c r="AV72" s="19" t="str">
        <f t="shared" si="34"/>
        <v/>
      </c>
      <c r="AW72" s="19" t="str">
        <f t="shared" si="34"/>
        <v/>
      </c>
      <c r="AX72" s="19" t="str">
        <f t="shared" si="34"/>
        <v/>
      </c>
      <c r="AY72" s="19" t="str">
        <f t="shared" si="34"/>
        <v/>
      </c>
      <c r="AZ72" s="19" t="str">
        <f t="shared" si="34"/>
        <v>■</v>
      </c>
      <c r="BA72" s="19" t="str">
        <f t="shared" si="34"/>
        <v/>
      </c>
      <c r="BB72" s="19" t="str">
        <f t="shared" si="34"/>
        <v/>
      </c>
      <c r="BC72" s="19" t="str">
        <f t="shared" si="34"/>
        <v/>
      </c>
      <c r="BD72" s="19" t="str">
        <f t="shared" si="34"/>
        <v/>
      </c>
    </row>
    <row r="73" spans="1:56" ht="24" customHeight="1">
      <c r="A73" s="11" t="str">
        <f>'01_KeHoach'!A73</f>
        <v>WBS-6.3</v>
      </c>
      <c r="B73" s="7" t="str">
        <f>'01_KeHoach'!C73</f>
        <v>W10</v>
      </c>
      <c r="C73" s="7" t="str">
        <f>'01_KeHoach'!B73</f>
        <v>Fault/Failure &amp; Recovery</v>
      </c>
      <c r="D73" s="7" t="str">
        <f>'01_KeHoach'!D73</f>
        <v>Failure test: MON/MGR/RGW instance</v>
      </c>
      <c r="E73" s="15">
        <f>'01_KeHoach'!G73</f>
        <v>46321</v>
      </c>
      <c r="F73" s="15">
        <f>'01_KeHoach'!H73</f>
        <v>46322</v>
      </c>
      <c r="G73" s="18" t="str">
        <f t="shared" si="30"/>
        <v/>
      </c>
      <c r="H73" s="18" t="str">
        <f t="shared" si="30"/>
        <v/>
      </c>
      <c r="I73" s="18" t="str">
        <f t="shared" si="30"/>
        <v/>
      </c>
      <c r="J73" s="18" t="str">
        <f t="shared" si="30"/>
        <v/>
      </c>
      <c r="K73" s="18" t="str">
        <f t="shared" si="30"/>
        <v/>
      </c>
      <c r="L73" s="18" t="str">
        <f t="shared" si="30"/>
        <v/>
      </c>
      <c r="M73" s="18" t="str">
        <f t="shared" si="30"/>
        <v/>
      </c>
      <c r="N73" s="18" t="str">
        <f t="shared" si="30"/>
        <v/>
      </c>
      <c r="O73" s="18" t="str">
        <f t="shared" si="30"/>
        <v/>
      </c>
      <c r="P73" s="18" t="str">
        <f t="shared" si="30"/>
        <v/>
      </c>
      <c r="Q73" s="18" t="str">
        <f t="shared" si="31"/>
        <v/>
      </c>
      <c r="R73" s="18" t="str">
        <f t="shared" si="31"/>
        <v/>
      </c>
      <c r="S73" s="18" t="str">
        <f t="shared" si="31"/>
        <v/>
      </c>
      <c r="T73" s="18" t="str">
        <f t="shared" si="31"/>
        <v/>
      </c>
      <c r="U73" s="18" t="str">
        <f t="shared" si="31"/>
        <v/>
      </c>
      <c r="V73" s="18" t="str">
        <f t="shared" si="31"/>
        <v/>
      </c>
      <c r="W73" s="18" t="str">
        <f t="shared" si="31"/>
        <v/>
      </c>
      <c r="X73" s="18" t="str">
        <f t="shared" si="31"/>
        <v/>
      </c>
      <c r="Y73" s="18" t="str">
        <f t="shared" si="31"/>
        <v/>
      </c>
      <c r="Z73" s="18" t="str">
        <f t="shared" si="31"/>
        <v/>
      </c>
      <c r="AA73" s="18" t="str">
        <f t="shared" si="32"/>
        <v/>
      </c>
      <c r="AB73" s="18" t="str">
        <f t="shared" si="32"/>
        <v/>
      </c>
      <c r="AC73" s="18" t="str">
        <f t="shared" si="32"/>
        <v/>
      </c>
      <c r="AD73" s="18" t="str">
        <f t="shared" si="32"/>
        <v/>
      </c>
      <c r="AE73" s="18" t="str">
        <f t="shared" si="32"/>
        <v/>
      </c>
      <c r="AF73" s="18" t="str">
        <f t="shared" si="32"/>
        <v/>
      </c>
      <c r="AG73" s="18" t="str">
        <f t="shared" si="32"/>
        <v/>
      </c>
      <c r="AH73" s="18" t="str">
        <f t="shared" si="32"/>
        <v/>
      </c>
      <c r="AI73" s="18" t="str">
        <f t="shared" si="32"/>
        <v/>
      </c>
      <c r="AJ73" s="18" t="str">
        <f t="shared" si="32"/>
        <v/>
      </c>
      <c r="AK73" s="19" t="str">
        <f t="shared" si="33"/>
        <v/>
      </c>
      <c r="AL73" s="19" t="str">
        <f t="shared" si="33"/>
        <v/>
      </c>
      <c r="AM73" s="19" t="str">
        <f t="shared" si="33"/>
        <v/>
      </c>
      <c r="AN73" s="19" t="str">
        <f t="shared" si="33"/>
        <v/>
      </c>
      <c r="AO73" s="19" t="str">
        <f t="shared" si="33"/>
        <v/>
      </c>
      <c r="AP73" s="19" t="str">
        <f t="shared" si="33"/>
        <v/>
      </c>
      <c r="AQ73" s="19" t="str">
        <f t="shared" si="33"/>
        <v/>
      </c>
      <c r="AR73" s="19" t="str">
        <f t="shared" si="33"/>
        <v/>
      </c>
      <c r="AS73" s="19" t="str">
        <f t="shared" si="33"/>
        <v/>
      </c>
      <c r="AT73" s="19" t="str">
        <f t="shared" si="33"/>
        <v/>
      </c>
      <c r="AU73" s="19" t="str">
        <f t="shared" si="34"/>
        <v/>
      </c>
      <c r="AV73" s="19" t="str">
        <f t="shared" si="34"/>
        <v/>
      </c>
      <c r="AW73" s="19" t="str">
        <f t="shared" si="34"/>
        <v/>
      </c>
      <c r="AX73" s="19" t="str">
        <f t="shared" si="34"/>
        <v/>
      </c>
      <c r="AY73" s="19" t="str">
        <f t="shared" si="34"/>
        <v/>
      </c>
      <c r="AZ73" s="19" t="str">
        <f t="shared" si="34"/>
        <v>■</v>
      </c>
      <c r="BA73" s="19" t="str">
        <f t="shared" si="34"/>
        <v>■</v>
      </c>
      <c r="BB73" s="19" t="str">
        <f t="shared" si="34"/>
        <v/>
      </c>
      <c r="BC73" s="19" t="str">
        <f t="shared" si="34"/>
        <v/>
      </c>
      <c r="BD73" s="19" t="str">
        <f t="shared" si="34"/>
        <v/>
      </c>
    </row>
    <row r="74" spans="1:56" ht="24" customHeight="1">
      <c r="A74" s="11" t="str">
        <f>'01_KeHoach'!A74</f>
        <v>WBS-6.4</v>
      </c>
      <c r="B74" s="7" t="str">
        <f>'01_KeHoach'!C74</f>
        <v>W10</v>
      </c>
      <c r="C74" s="7" t="str">
        <f>'01_KeHoach'!B74</f>
        <v>Fault/Failure &amp; Recovery</v>
      </c>
      <c r="D74" s="7" t="str">
        <f>'01_KeHoach'!D74</f>
        <v>Test pause/resume và fix-forward</v>
      </c>
      <c r="E74" s="15">
        <f>'01_KeHoach'!G74</f>
        <v>46322</v>
      </c>
      <c r="F74" s="15">
        <f>'01_KeHoach'!H74</f>
        <v>46322</v>
      </c>
      <c r="G74" s="18" t="str">
        <f t="shared" si="30"/>
        <v/>
      </c>
      <c r="H74" s="18" t="str">
        <f t="shared" si="30"/>
        <v/>
      </c>
      <c r="I74" s="18" t="str">
        <f t="shared" si="30"/>
        <v/>
      </c>
      <c r="J74" s="18" t="str">
        <f t="shared" si="30"/>
        <v/>
      </c>
      <c r="K74" s="18" t="str">
        <f t="shared" si="30"/>
        <v/>
      </c>
      <c r="L74" s="18" t="str">
        <f t="shared" si="30"/>
        <v/>
      </c>
      <c r="M74" s="18" t="str">
        <f t="shared" si="30"/>
        <v/>
      </c>
      <c r="N74" s="18" t="str">
        <f t="shared" si="30"/>
        <v/>
      </c>
      <c r="O74" s="18" t="str">
        <f t="shared" si="30"/>
        <v/>
      </c>
      <c r="P74" s="18" t="str">
        <f t="shared" si="30"/>
        <v/>
      </c>
      <c r="Q74" s="18" t="str">
        <f t="shared" si="31"/>
        <v/>
      </c>
      <c r="R74" s="18" t="str">
        <f t="shared" si="31"/>
        <v/>
      </c>
      <c r="S74" s="18" t="str">
        <f t="shared" si="31"/>
        <v/>
      </c>
      <c r="T74" s="18" t="str">
        <f t="shared" si="31"/>
        <v/>
      </c>
      <c r="U74" s="18" t="str">
        <f t="shared" si="31"/>
        <v/>
      </c>
      <c r="V74" s="18" t="str">
        <f t="shared" si="31"/>
        <v/>
      </c>
      <c r="W74" s="18" t="str">
        <f t="shared" si="31"/>
        <v/>
      </c>
      <c r="X74" s="18" t="str">
        <f t="shared" si="31"/>
        <v/>
      </c>
      <c r="Y74" s="18" t="str">
        <f t="shared" si="31"/>
        <v/>
      </c>
      <c r="Z74" s="18" t="str">
        <f t="shared" si="31"/>
        <v/>
      </c>
      <c r="AA74" s="18" t="str">
        <f t="shared" si="32"/>
        <v/>
      </c>
      <c r="AB74" s="18" t="str">
        <f t="shared" si="32"/>
        <v/>
      </c>
      <c r="AC74" s="18" t="str">
        <f t="shared" si="32"/>
        <v/>
      </c>
      <c r="AD74" s="18" t="str">
        <f t="shared" si="32"/>
        <v/>
      </c>
      <c r="AE74" s="18" t="str">
        <f t="shared" si="32"/>
        <v/>
      </c>
      <c r="AF74" s="18" t="str">
        <f t="shared" si="32"/>
        <v/>
      </c>
      <c r="AG74" s="18" t="str">
        <f t="shared" si="32"/>
        <v/>
      </c>
      <c r="AH74" s="18" t="str">
        <f t="shared" si="32"/>
        <v/>
      </c>
      <c r="AI74" s="18" t="str">
        <f t="shared" si="32"/>
        <v/>
      </c>
      <c r="AJ74" s="18" t="str">
        <f t="shared" si="32"/>
        <v/>
      </c>
      <c r="AK74" s="19" t="str">
        <f t="shared" si="33"/>
        <v/>
      </c>
      <c r="AL74" s="19" t="str">
        <f t="shared" si="33"/>
        <v/>
      </c>
      <c r="AM74" s="19" t="str">
        <f t="shared" si="33"/>
        <v/>
      </c>
      <c r="AN74" s="19" t="str">
        <f t="shared" si="33"/>
        <v/>
      </c>
      <c r="AO74" s="19" t="str">
        <f t="shared" si="33"/>
        <v/>
      </c>
      <c r="AP74" s="19" t="str">
        <f t="shared" si="33"/>
        <v/>
      </c>
      <c r="AQ74" s="19" t="str">
        <f t="shared" si="33"/>
        <v/>
      </c>
      <c r="AR74" s="19" t="str">
        <f t="shared" si="33"/>
        <v/>
      </c>
      <c r="AS74" s="19" t="str">
        <f t="shared" si="33"/>
        <v/>
      </c>
      <c r="AT74" s="19" t="str">
        <f t="shared" si="33"/>
        <v/>
      </c>
      <c r="AU74" s="19" t="str">
        <f t="shared" si="34"/>
        <v/>
      </c>
      <c r="AV74" s="19" t="str">
        <f t="shared" si="34"/>
        <v/>
      </c>
      <c r="AW74" s="19" t="str">
        <f t="shared" si="34"/>
        <v/>
      </c>
      <c r="AX74" s="19" t="str">
        <f t="shared" si="34"/>
        <v/>
      </c>
      <c r="AY74" s="19" t="str">
        <f t="shared" si="34"/>
        <v/>
      </c>
      <c r="AZ74" s="19" t="str">
        <f t="shared" si="34"/>
        <v/>
      </c>
      <c r="BA74" s="19" t="str">
        <f t="shared" si="34"/>
        <v>■</v>
      </c>
      <c r="BB74" s="19" t="str">
        <f t="shared" si="34"/>
        <v/>
      </c>
      <c r="BC74" s="19" t="str">
        <f t="shared" si="34"/>
        <v/>
      </c>
      <c r="BD74" s="19" t="str">
        <f t="shared" si="34"/>
        <v/>
      </c>
    </row>
    <row r="75" spans="1:56" ht="24" customHeight="1">
      <c r="A75" s="11" t="str">
        <f>'01_KeHoach'!A75</f>
        <v>WBS-6.5</v>
      </c>
      <c r="B75" s="7" t="str">
        <f>'01_KeHoach'!C75</f>
        <v>W10</v>
      </c>
      <c r="C75" s="7" t="str">
        <f>'01_KeHoach'!B75</f>
        <v>Fault/Failure &amp; Recovery</v>
      </c>
      <c r="D75" s="7" t="str">
        <f>'01_KeHoach'!D75</f>
        <v>Đánh giá recovery/backfill dưới workload</v>
      </c>
      <c r="E75" s="15">
        <f>'01_KeHoach'!G75</f>
        <v>46322</v>
      </c>
      <c r="F75" s="15">
        <f>'01_KeHoach'!H75</f>
        <v>46323</v>
      </c>
      <c r="G75" s="18" t="str">
        <f t="shared" si="30"/>
        <v/>
      </c>
      <c r="H75" s="18" t="str">
        <f t="shared" si="30"/>
        <v/>
      </c>
      <c r="I75" s="18" t="str">
        <f t="shared" si="30"/>
        <v/>
      </c>
      <c r="J75" s="18" t="str">
        <f t="shared" si="30"/>
        <v/>
      </c>
      <c r="K75" s="18" t="str">
        <f t="shared" si="30"/>
        <v/>
      </c>
      <c r="L75" s="18" t="str">
        <f t="shared" si="30"/>
        <v/>
      </c>
      <c r="M75" s="18" t="str">
        <f t="shared" si="30"/>
        <v/>
      </c>
      <c r="N75" s="18" t="str">
        <f t="shared" si="30"/>
        <v/>
      </c>
      <c r="O75" s="18" t="str">
        <f t="shared" si="30"/>
        <v/>
      </c>
      <c r="P75" s="18" t="str">
        <f t="shared" si="30"/>
        <v/>
      </c>
      <c r="Q75" s="18" t="str">
        <f t="shared" si="31"/>
        <v/>
      </c>
      <c r="R75" s="18" t="str">
        <f t="shared" si="31"/>
        <v/>
      </c>
      <c r="S75" s="18" t="str">
        <f t="shared" si="31"/>
        <v/>
      </c>
      <c r="T75" s="18" t="str">
        <f t="shared" si="31"/>
        <v/>
      </c>
      <c r="U75" s="18" t="str">
        <f t="shared" si="31"/>
        <v/>
      </c>
      <c r="V75" s="18" t="str">
        <f t="shared" si="31"/>
        <v/>
      </c>
      <c r="W75" s="18" t="str">
        <f t="shared" si="31"/>
        <v/>
      </c>
      <c r="X75" s="18" t="str">
        <f t="shared" si="31"/>
        <v/>
      </c>
      <c r="Y75" s="18" t="str">
        <f t="shared" si="31"/>
        <v/>
      </c>
      <c r="Z75" s="18" t="str">
        <f t="shared" si="31"/>
        <v/>
      </c>
      <c r="AA75" s="18" t="str">
        <f t="shared" si="32"/>
        <v/>
      </c>
      <c r="AB75" s="18" t="str">
        <f t="shared" si="32"/>
        <v/>
      </c>
      <c r="AC75" s="18" t="str">
        <f t="shared" si="32"/>
        <v/>
      </c>
      <c r="AD75" s="18" t="str">
        <f t="shared" si="32"/>
        <v/>
      </c>
      <c r="AE75" s="18" t="str">
        <f t="shared" si="32"/>
        <v/>
      </c>
      <c r="AF75" s="18" t="str">
        <f t="shared" si="32"/>
        <v/>
      </c>
      <c r="AG75" s="18" t="str">
        <f t="shared" si="32"/>
        <v/>
      </c>
      <c r="AH75" s="18" t="str">
        <f t="shared" si="32"/>
        <v/>
      </c>
      <c r="AI75" s="18" t="str">
        <f t="shared" si="32"/>
        <v/>
      </c>
      <c r="AJ75" s="18" t="str">
        <f t="shared" si="32"/>
        <v/>
      </c>
      <c r="AK75" s="19" t="str">
        <f t="shared" si="33"/>
        <v/>
      </c>
      <c r="AL75" s="19" t="str">
        <f t="shared" si="33"/>
        <v/>
      </c>
      <c r="AM75" s="19" t="str">
        <f t="shared" si="33"/>
        <v/>
      </c>
      <c r="AN75" s="19" t="str">
        <f t="shared" si="33"/>
        <v/>
      </c>
      <c r="AO75" s="19" t="str">
        <f t="shared" si="33"/>
        <v/>
      </c>
      <c r="AP75" s="19" t="str">
        <f t="shared" si="33"/>
        <v/>
      </c>
      <c r="AQ75" s="19" t="str">
        <f t="shared" si="33"/>
        <v/>
      </c>
      <c r="AR75" s="19" t="str">
        <f t="shared" si="33"/>
        <v/>
      </c>
      <c r="AS75" s="19" t="str">
        <f t="shared" si="33"/>
        <v/>
      </c>
      <c r="AT75" s="19" t="str">
        <f t="shared" si="33"/>
        <v/>
      </c>
      <c r="AU75" s="19" t="str">
        <f t="shared" si="34"/>
        <v/>
      </c>
      <c r="AV75" s="19" t="str">
        <f t="shared" si="34"/>
        <v/>
      </c>
      <c r="AW75" s="19" t="str">
        <f t="shared" si="34"/>
        <v/>
      </c>
      <c r="AX75" s="19" t="str">
        <f t="shared" si="34"/>
        <v/>
      </c>
      <c r="AY75" s="19" t="str">
        <f t="shared" si="34"/>
        <v/>
      </c>
      <c r="AZ75" s="19" t="str">
        <f t="shared" si="34"/>
        <v/>
      </c>
      <c r="BA75" s="19" t="str">
        <f t="shared" si="34"/>
        <v>■</v>
      </c>
      <c r="BB75" s="19" t="str">
        <f t="shared" si="34"/>
        <v>■</v>
      </c>
      <c r="BC75" s="19" t="str">
        <f t="shared" si="34"/>
        <v/>
      </c>
      <c r="BD75" s="19" t="str">
        <f t="shared" si="34"/>
        <v/>
      </c>
    </row>
    <row r="76" spans="1:56" ht="24" customHeight="1">
      <c r="A76" s="11" t="str">
        <f>'01_KeHoach'!A76</f>
        <v>WBS-6.6</v>
      </c>
      <c r="B76" s="7" t="str">
        <f>'01_KeHoach'!C76</f>
        <v>W10</v>
      </c>
      <c r="C76" s="7" t="str">
        <f>'01_KeHoach'!B76</f>
        <v>Fault/Failure &amp; Recovery</v>
      </c>
      <c r="D76" s="7" t="str">
        <f>'01_KeHoach'!D76</f>
        <v>Soak ổn định sau fault suite</v>
      </c>
      <c r="E76" s="15">
        <f>'01_KeHoach'!G76</f>
        <v>46323</v>
      </c>
      <c r="F76" s="15">
        <f>'01_KeHoach'!H76</f>
        <v>46324</v>
      </c>
      <c r="G76" s="18" t="str">
        <f t="shared" ref="G76:P87" si="35">IF(AND(G$5&gt;=$E76,G$5&lt;=$F76),"■","")</f>
        <v/>
      </c>
      <c r="H76" s="18" t="str">
        <f t="shared" si="35"/>
        <v/>
      </c>
      <c r="I76" s="18" t="str">
        <f t="shared" si="35"/>
        <v/>
      </c>
      <c r="J76" s="18" t="str">
        <f t="shared" si="35"/>
        <v/>
      </c>
      <c r="K76" s="18" t="str">
        <f t="shared" si="35"/>
        <v/>
      </c>
      <c r="L76" s="18" t="str">
        <f t="shared" si="35"/>
        <v/>
      </c>
      <c r="M76" s="18" t="str">
        <f t="shared" si="35"/>
        <v/>
      </c>
      <c r="N76" s="18" t="str">
        <f t="shared" si="35"/>
        <v/>
      </c>
      <c r="O76" s="18" t="str">
        <f t="shared" si="35"/>
        <v/>
      </c>
      <c r="P76" s="18" t="str">
        <f t="shared" si="35"/>
        <v/>
      </c>
      <c r="Q76" s="18" t="str">
        <f t="shared" ref="Q76:Z87" si="36">IF(AND(Q$5&gt;=$E76,Q$5&lt;=$F76),"■","")</f>
        <v/>
      </c>
      <c r="R76" s="18" t="str">
        <f t="shared" si="36"/>
        <v/>
      </c>
      <c r="S76" s="18" t="str">
        <f t="shared" si="36"/>
        <v/>
      </c>
      <c r="T76" s="18" t="str">
        <f t="shared" si="36"/>
        <v/>
      </c>
      <c r="U76" s="18" t="str">
        <f t="shared" si="36"/>
        <v/>
      </c>
      <c r="V76" s="18" t="str">
        <f t="shared" si="36"/>
        <v/>
      </c>
      <c r="W76" s="18" t="str">
        <f t="shared" si="36"/>
        <v/>
      </c>
      <c r="X76" s="18" t="str">
        <f t="shared" si="36"/>
        <v/>
      </c>
      <c r="Y76" s="18" t="str">
        <f t="shared" si="36"/>
        <v/>
      </c>
      <c r="Z76" s="18" t="str">
        <f t="shared" si="36"/>
        <v/>
      </c>
      <c r="AA76" s="18" t="str">
        <f t="shared" ref="AA76:AJ87" si="37">IF(AND(AA$5&gt;=$E76,AA$5&lt;=$F76),"■","")</f>
        <v/>
      </c>
      <c r="AB76" s="18" t="str">
        <f t="shared" si="37"/>
        <v/>
      </c>
      <c r="AC76" s="18" t="str">
        <f t="shared" si="37"/>
        <v/>
      </c>
      <c r="AD76" s="18" t="str">
        <f t="shared" si="37"/>
        <v/>
      </c>
      <c r="AE76" s="18" t="str">
        <f t="shared" si="37"/>
        <v/>
      </c>
      <c r="AF76" s="18" t="str">
        <f t="shared" si="37"/>
        <v/>
      </c>
      <c r="AG76" s="18" t="str">
        <f t="shared" si="37"/>
        <v/>
      </c>
      <c r="AH76" s="18" t="str">
        <f t="shared" si="37"/>
        <v/>
      </c>
      <c r="AI76" s="18" t="str">
        <f t="shared" si="37"/>
        <v/>
      </c>
      <c r="AJ76" s="18" t="str">
        <f t="shared" si="37"/>
        <v/>
      </c>
      <c r="AK76" s="19" t="str">
        <f t="shared" ref="AK76:AT87" si="38">IF(AND(AK$5&gt;=$E76,AK$5&lt;=$F76),"■","")</f>
        <v/>
      </c>
      <c r="AL76" s="19" t="str">
        <f t="shared" si="38"/>
        <v/>
      </c>
      <c r="AM76" s="19" t="str">
        <f t="shared" si="38"/>
        <v/>
      </c>
      <c r="AN76" s="19" t="str">
        <f t="shared" si="38"/>
        <v/>
      </c>
      <c r="AO76" s="19" t="str">
        <f t="shared" si="38"/>
        <v/>
      </c>
      <c r="AP76" s="19" t="str">
        <f t="shared" si="38"/>
        <v/>
      </c>
      <c r="AQ76" s="19" t="str">
        <f t="shared" si="38"/>
        <v/>
      </c>
      <c r="AR76" s="19" t="str">
        <f t="shared" si="38"/>
        <v/>
      </c>
      <c r="AS76" s="19" t="str">
        <f t="shared" si="38"/>
        <v/>
      </c>
      <c r="AT76" s="19" t="str">
        <f t="shared" si="38"/>
        <v/>
      </c>
      <c r="AU76" s="19" t="str">
        <f t="shared" ref="AU76:BD87" si="39">IF(AND(AU$5&gt;=$E76,AU$5&lt;=$F76),"■","")</f>
        <v/>
      </c>
      <c r="AV76" s="19" t="str">
        <f t="shared" si="39"/>
        <v/>
      </c>
      <c r="AW76" s="19" t="str">
        <f t="shared" si="39"/>
        <v/>
      </c>
      <c r="AX76" s="19" t="str">
        <f t="shared" si="39"/>
        <v/>
      </c>
      <c r="AY76" s="19" t="str">
        <f t="shared" si="39"/>
        <v/>
      </c>
      <c r="AZ76" s="19" t="str">
        <f t="shared" si="39"/>
        <v/>
      </c>
      <c r="BA76" s="19" t="str">
        <f t="shared" si="39"/>
        <v/>
      </c>
      <c r="BB76" s="19" t="str">
        <f t="shared" si="39"/>
        <v>■</v>
      </c>
      <c r="BC76" s="19" t="str">
        <f t="shared" si="39"/>
        <v>■</v>
      </c>
      <c r="BD76" s="19" t="str">
        <f t="shared" si="39"/>
        <v/>
      </c>
    </row>
    <row r="77" spans="1:56" ht="24" customHeight="1">
      <c r="A77" s="11" t="str">
        <f>'01_KeHoach'!A77</f>
        <v>WBS-6.7</v>
      </c>
      <c r="B77" s="7" t="str">
        <f>'01_KeHoach'!C77</f>
        <v>W10</v>
      </c>
      <c r="C77" s="7" t="str">
        <f>'01_KeHoach'!B77</f>
        <v>Fault/Failure &amp; Recovery</v>
      </c>
      <c r="D77" s="7" t="str">
        <f>'01_KeHoach'!D77</f>
        <v>So sánh trước/sau và đánh giá impact</v>
      </c>
      <c r="E77" s="15">
        <f>'01_KeHoach'!G77</f>
        <v>46324</v>
      </c>
      <c r="F77" s="15">
        <f>'01_KeHoach'!H77</f>
        <v>46324</v>
      </c>
      <c r="G77" s="18" t="str">
        <f t="shared" si="35"/>
        <v/>
      </c>
      <c r="H77" s="18" t="str">
        <f t="shared" si="35"/>
        <v/>
      </c>
      <c r="I77" s="18" t="str">
        <f t="shared" si="35"/>
        <v/>
      </c>
      <c r="J77" s="18" t="str">
        <f t="shared" si="35"/>
        <v/>
      </c>
      <c r="K77" s="18" t="str">
        <f t="shared" si="35"/>
        <v/>
      </c>
      <c r="L77" s="18" t="str">
        <f t="shared" si="35"/>
        <v/>
      </c>
      <c r="M77" s="18" t="str">
        <f t="shared" si="35"/>
        <v/>
      </c>
      <c r="N77" s="18" t="str">
        <f t="shared" si="35"/>
        <v/>
      </c>
      <c r="O77" s="18" t="str">
        <f t="shared" si="35"/>
        <v/>
      </c>
      <c r="P77" s="18" t="str">
        <f t="shared" si="35"/>
        <v/>
      </c>
      <c r="Q77" s="18" t="str">
        <f t="shared" si="36"/>
        <v/>
      </c>
      <c r="R77" s="18" t="str">
        <f t="shared" si="36"/>
        <v/>
      </c>
      <c r="S77" s="18" t="str">
        <f t="shared" si="36"/>
        <v/>
      </c>
      <c r="T77" s="18" t="str">
        <f t="shared" si="36"/>
        <v/>
      </c>
      <c r="U77" s="18" t="str">
        <f t="shared" si="36"/>
        <v/>
      </c>
      <c r="V77" s="18" t="str">
        <f t="shared" si="36"/>
        <v/>
      </c>
      <c r="W77" s="18" t="str">
        <f t="shared" si="36"/>
        <v/>
      </c>
      <c r="X77" s="18" t="str">
        <f t="shared" si="36"/>
        <v/>
      </c>
      <c r="Y77" s="18" t="str">
        <f t="shared" si="36"/>
        <v/>
      </c>
      <c r="Z77" s="18" t="str">
        <f t="shared" si="36"/>
        <v/>
      </c>
      <c r="AA77" s="18" t="str">
        <f t="shared" si="37"/>
        <v/>
      </c>
      <c r="AB77" s="18" t="str">
        <f t="shared" si="37"/>
        <v/>
      </c>
      <c r="AC77" s="18" t="str">
        <f t="shared" si="37"/>
        <v/>
      </c>
      <c r="AD77" s="18" t="str">
        <f t="shared" si="37"/>
        <v/>
      </c>
      <c r="AE77" s="18" t="str">
        <f t="shared" si="37"/>
        <v/>
      </c>
      <c r="AF77" s="18" t="str">
        <f t="shared" si="37"/>
        <v/>
      </c>
      <c r="AG77" s="18" t="str">
        <f t="shared" si="37"/>
        <v/>
      </c>
      <c r="AH77" s="18" t="str">
        <f t="shared" si="37"/>
        <v/>
      </c>
      <c r="AI77" s="18" t="str">
        <f t="shared" si="37"/>
        <v/>
      </c>
      <c r="AJ77" s="18" t="str">
        <f t="shared" si="37"/>
        <v/>
      </c>
      <c r="AK77" s="19" t="str">
        <f t="shared" si="38"/>
        <v/>
      </c>
      <c r="AL77" s="19" t="str">
        <f t="shared" si="38"/>
        <v/>
      </c>
      <c r="AM77" s="19" t="str">
        <f t="shared" si="38"/>
        <v/>
      </c>
      <c r="AN77" s="19" t="str">
        <f t="shared" si="38"/>
        <v/>
      </c>
      <c r="AO77" s="19" t="str">
        <f t="shared" si="38"/>
        <v/>
      </c>
      <c r="AP77" s="19" t="str">
        <f t="shared" si="38"/>
        <v/>
      </c>
      <c r="AQ77" s="19" t="str">
        <f t="shared" si="38"/>
        <v/>
      </c>
      <c r="AR77" s="19" t="str">
        <f t="shared" si="38"/>
        <v/>
      </c>
      <c r="AS77" s="19" t="str">
        <f t="shared" si="38"/>
        <v/>
      </c>
      <c r="AT77" s="19" t="str">
        <f t="shared" si="38"/>
        <v/>
      </c>
      <c r="AU77" s="19" t="str">
        <f t="shared" si="39"/>
        <v/>
      </c>
      <c r="AV77" s="19" t="str">
        <f t="shared" si="39"/>
        <v/>
      </c>
      <c r="AW77" s="19" t="str">
        <f t="shared" si="39"/>
        <v/>
      </c>
      <c r="AX77" s="19" t="str">
        <f t="shared" si="39"/>
        <v/>
      </c>
      <c r="AY77" s="19" t="str">
        <f t="shared" si="39"/>
        <v/>
      </c>
      <c r="AZ77" s="19" t="str">
        <f t="shared" si="39"/>
        <v/>
      </c>
      <c r="BA77" s="19" t="str">
        <f t="shared" si="39"/>
        <v/>
      </c>
      <c r="BB77" s="19" t="str">
        <f t="shared" si="39"/>
        <v/>
      </c>
      <c r="BC77" s="19" t="str">
        <f t="shared" si="39"/>
        <v>■</v>
      </c>
      <c r="BD77" s="19" t="str">
        <f t="shared" si="39"/>
        <v/>
      </c>
    </row>
    <row r="78" spans="1:56" ht="24" customHeight="1">
      <c r="A78" s="11" t="str">
        <f>'01_KeHoach'!A78</f>
        <v>WBS-6.8</v>
      </c>
      <c r="B78" s="7" t="str">
        <f>'01_KeHoach'!C78</f>
        <v>W10</v>
      </c>
      <c r="C78" s="7" t="str">
        <f>'01_KeHoach'!B78</f>
        <v>Fault/Failure &amp; Recovery</v>
      </c>
      <c r="D78" s="7" t="str">
        <f>'01_KeHoach'!D78</f>
        <v>End-to-end rehearsal bởi kỹ sư thứ hai &amp; Lab Final Gate</v>
      </c>
      <c r="E78" s="15">
        <f>'01_KeHoach'!G78</f>
        <v>46324</v>
      </c>
      <c r="F78" s="15">
        <f>'01_KeHoach'!H78</f>
        <v>46324</v>
      </c>
      <c r="G78" s="18" t="str">
        <f t="shared" si="35"/>
        <v/>
      </c>
      <c r="H78" s="18" t="str">
        <f t="shared" si="35"/>
        <v/>
      </c>
      <c r="I78" s="18" t="str">
        <f t="shared" si="35"/>
        <v/>
      </c>
      <c r="J78" s="18" t="str">
        <f t="shared" si="35"/>
        <v/>
      </c>
      <c r="K78" s="18" t="str">
        <f t="shared" si="35"/>
        <v/>
      </c>
      <c r="L78" s="18" t="str">
        <f t="shared" si="35"/>
        <v/>
      </c>
      <c r="M78" s="18" t="str">
        <f t="shared" si="35"/>
        <v/>
      </c>
      <c r="N78" s="18" t="str">
        <f t="shared" si="35"/>
        <v/>
      </c>
      <c r="O78" s="18" t="str">
        <f t="shared" si="35"/>
        <v/>
      </c>
      <c r="P78" s="18" t="str">
        <f t="shared" si="35"/>
        <v/>
      </c>
      <c r="Q78" s="18" t="str">
        <f t="shared" si="36"/>
        <v/>
      </c>
      <c r="R78" s="18" t="str">
        <f t="shared" si="36"/>
        <v/>
      </c>
      <c r="S78" s="18" t="str">
        <f t="shared" si="36"/>
        <v/>
      </c>
      <c r="T78" s="18" t="str">
        <f t="shared" si="36"/>
        <v/>
      </c>
      <c r="U78" s="18" t="str">
        <f t="shared" si="36"/>
        <v/>
      </c>
      <c r="V78" s="18" t="str">
        <f t="shared" si="36"/>
        <v/>
      </c>
      <c r="W78" s="18" t="str">
        <f t="shared" si="36"/>
        <v/>
      </c>
      <c r="X78" s="18" t="str">
        <f t="shared" si="36"/>
        <v/>
      </c>
      <c r="Y78" s="18" t="str">
        <f t="shared" si="36"/>
        <v/>
      </c>
      <c r="Z78" s="18" t="str">
        <f t="shared" si="36"/>
        <v/>
      </c>
      <c r="AA78" s="18" t="str">
        <f t="shared" si="37"/>
        <v/>
      </c>
      <c r="AB78" s="18" t="str">
        <f t="shared" si="37"/>
        <v/>
      </c>
      <c r="AC78" s="18" t="str">
        <f t="shared" si="37"/>
        <v/>
      </c>
      <c r="AD78" s="18" t="str">
        <f t="shared" si="37"/>
        <v/>
      </c>
      <c r="AE78" s="18" t="str">
        <f t="shared" si="37"/>
        <v/>
      </c>
      <c r="AF78" s="18" t="str">
        <f t="shared" si="37"/>
        <v/>
      </c>
      <c r="AG78" s="18" t="str">
        <f t="shared" si="37"/>
        <v/>
      </c>
      <c r="AH78" s="18" t="str">
        <f t="shared" si="37"/>
        <v/>
      </c>
      <c r="AI78" s="18" t="str">
        <f t="shared" si="37"/>
        <v/>
      </c>
      <c r="AJ78" s="18" t="str">
        <f t="shared" si="37"/>
        <v/>
      </c>
      <c r="AK78" s="19" t="str">
        <f t="shared" si="38"/>
        <v/>
      </c>
      <c r="AL78" s="19" t="str">
        <f t="shared" si="38"/>
        <v/>
      </c>
      <c r="AM78" s="19" t="str">
        <f t="shared" si="38"/>
        <v/>
      </c>
      <c r="AN78" s="19" t="str">
        <f t="shared" si="38"/>
        <v/>
      </c>
      <c r="AO78" s="19" t="str">
        <f t="shared" si="38"/>
        <v/>
      </c>
      <c r="AP78" s="19" t="str">
        <f t="shared" si="38"/>
        <v/>
      </c>
      <c r="AQ78" s="19" t="str">
        <f t="shared" si="38"/>
        <v/>
      </c>
      <c r="AR78" s="19" t="str">
        <f t="shared" si="38"/>
        <v/>
      </c>
      <c r="AS78" s="19" t="str">
        <f t="shared" si="38"/>
        <v/>
      </c>
      <c r="AT78" s="19" t="str">
        <f t="shared" si="38"/>
        <v/>
      </c>
      <c r="AU78" s="19" t="str">
        <f t="shared" si="39"/>
        <v/>
      </c>
      <c r="AV78" s="19" t="str">
        <f t="shared" si="39"/>
        <v/>
      </c>
      <c r="AW78" s="19" t="str">
        <f t="shared" si="39"/>
        <v/>
      </c>
      <c r="AX78" s="19" t="str">
        <f t="shared" si="39"/>
        <v/>
      </c>
      <c r="AY78" s="19" t="str">
        <f t="shared" si="39"/>
        <v/>
      </c>
      <c r="AZ78" s="19" t="str">
        <f t="shared" si="39"/>
        <v/>
      </c>
      <c r="BA78" s="19" t="str">
        <f t="shared" si="39"/>
        <v/>
      </c>
      <c r="BB78" s="19" t="str">
        <f t="shared" si="39"/>
        <v/>
      </c>
      <c r="BC78" s="19" t="str">
        <f t="shared" si="39"/>
        <v>■</v>
      </c>
      <c r="BD78" s="19" t="str">
        <f t="shared" si="39"/>
        <v/>
      </c>
    </row>
    <row r="79" spans="1:56" ht="24" customHeight="1">
      <c r="A79" s="11" t="str">
        <f>'01_KeHoach'!A79</f>
        <v>WBS-7.1</v>
      </c>
      <c r="B79" s="7" t="str">
        <f>'01_KeHoach'!C79</f>
        <v>W10</v>
      </c>
      <c r="C79" s="7" t="str">
        <f>'01_KeHoach'!B79</f>
        <v>Tổng hợp &amp; Bàn giao</v>
      </c>
      <c r="D79" s="7" t="str">
        <f>'01_KeHoach'!D79</f>
        <v>Hoàn thiện Traceability Matrix và evidence index</v>
      </c>
      <c r="E79" s="15">
        <f>'01_KeHoach'!G79</f>
        <v>46321</v>
      </c>
      <c r="F79" s="15">
        <f>'01_KeHoach'!H79</f>
        <v>46324</v>
      </c>
      <c r="G79" s="18" t="str">
        <f t="shared" si="35"/>
        <v/>
      </c>
      <c r="H79" s="18" t="str">
        <f t="shared" si="35"/>
        <v/>
      </c>
      <c r="I79" s="18" t="str">
        <f t="shared" si="35"/>
        <v/>
      </c>
      <c r="J79" s="18" t="str">
        <f t="shared" si="35"/>
        <v/>
      </c>
      <c r="K79" s="18" t="str">
        <f t="shared" si="35"/>
        <v/>
      </c>
      <c r="L79" s="18" t="str">
        <f t="shared" si="35"/>
        <v/>
      </c>
      <c r="M79" s="18" t="str">
        <f t="shared" si="35"/>
        <v/>
      </c>
      <c r="N79" s="18" t="str">
        <f t="shared" si="35"/>
        <v/>
      </c>
      <c r="O79" s="18" t="str">
        <f t="shared" si="35"/>
        <v/>
      </c>
      <c r="P79" s="18" t="str">
        <f t="shared" si="35"/>
        <v/>
      </c>
      <c r="Q79" s="18" t="str">
        <f t="shared" si="36"/>
        <v/>
      </c>
      <c r="R79" s="18" t="str">
        <f t="shared" si="36"/>
        <v/>
      </c>
      <c r="S79" s="18" t="str">
        <f t="shared" si="36"/>
        <v/>
      </c>
      <c r="T79" s="18" t="str">
        <f t="shared" si="36"/>
        <v/>
      </c>
      <c r="U79" s="18" t="str">
        <f t="shared" si="36"/>
        <v/>
      </c>
      <c r="V79" s="18" t="str">
        <f t="shared" si="36"/>
        <v/>
      </c>
      <c r="W79" s="18" t="str">
        <f t="shared" si="36"/>
        <v/>
      </c>
      <c r="X79" s="18" t="str">
        <f t="shared" si="36"/>
        <v/>
      </c>
      <c r="Y79" s="18" t="str">
        <f t="shared" si="36"/>
        <v/>
      </c>
      <c r="Z79" s="18" t="str">
        <f t="shared" si="36"/>
        <v/>
      </c>
      <c r="AA79" s="18" t="str">
        <f t="shared" si="37"/>
        <v/>
      </c>
      <c r="AB79" s="18" t="str">
        <f t="shared" si="37"/>
        <v/>
      </c>
      <c r="AC79" s="18" t="str">
        <f t="shared" si="37"/>
        <v/>
      </c>
      <c r="AD79" s="18" t="str">
        <f t="shared" si="37"/>
        <v/>
      </c>
      <c r="AE79" s="18" t="str">
        <f t="shared" si="37"/>
        <v/>
      </c>
      <c r="AF79" s="18" t="str">
        <f t="shared" si="37"/>
        <v/>
      </c>
      <c r="AG79" s="18" t="str">
        <f t="shared" si="37"/>
        <v/>
      </c>
      <c r="AH79" s="18" t="str">
        <f t="shared" si="37"/>
        <v/>
      </c>
      <c r="AI79" s="18" t="str">
        <f t="shared" si="37"/>
        <v/>
      </c>
      <c r="AJ79" s="18" t="str">
        <f t="shared" si="37"/>
        <v/>
      </c>
      <c r="AK79" s="19" t="str">
        <f t="shared" si="38"/>
        <v/>
      </c>
      <c r="AL79" s="19" t="str">
        <f t="shared" si="38"/>
        <v/>
      </c>
      <c r="AM79" s="19" t="str">
        <f t="shared" si="38"/>
        <v/>
      </c>
      <c r="AN79" s="19" t="str">
        <f t="shared" si="38"/>
        <v/>
      </c>
      <c r="AO79" s="19" t="str">
        <f t="shared" si="38"/>
        <v/>
      </c>
      <c r="AP79" s="19" t="str">
        <f t="shared" si="38"/>
        <v/>
      </c>
      <c r="AQ79" s="19" t="str">
        <f t="shared" si="38"/>
        <v/>
      </c>
      <c r="AR79" s="19" t="str">
        <f t="shared" si="38"/>
        <v/>
      </c>
      <c r="AS79" s="19" t="str">
        <f t="shared" si="38"/>
        <v/>
      </c>
      <c r="AT79" s="19" t="str">
        <f t="shared" si="38"/>
        <v/>
      </c>
      <c r="AU79" s="19" t="str">
        <f t="shared" si="39"/>
        <v/>
      </c>
      <c r="AV79" s="19" t="str">
        <f t="shared" si="39"/>
        <v/>
      </c>
      <c r="AW79" s="19" t="str">
        <f t="shared" si="39"/>
        <v/>
      </c>
      <c r="AX79" s="19" t="str">
        <f t="shared" si="39"/>
        <v/>
      </c>
      <c r="AY79" s="19" t="str">
        <f t="shared" si="39"/>
        <v/>
      </c>
      <c r="AZ79" s="19" t="str">
        <f t="shared" si="39"/>
        <v>■</v>
      </c>
      <c r="BA79" s="19" t="str">
        <f t="shared" si="39"/>
        <v>■</v>
      </c>
      <c r="BB79" s="19" t="str">
        <f t="shared" si="39"/>
        <v>■</v>
      </c>
      <c r="BC79" s="19" t="str">
        <f t="shared" si="39"/>
        <v>■</v>
      </c>
      <c r="BD79" s="19" t="str">
        <f t="shared" si="39"/>
        <v/>
      </c>
    </row>
    <row r="80" spans="1:56" ht="24" customHeight="1">
      <c r="A80" s="11" t="str">
        <f>'01_KeHoach'!A80</f>
        <v>WBS-7.2</v>
      </c>
      <c r="B80" s="7" t="str">
        <f>'01_KeHoach'!C80</f>
        <v>W10</v>
      </c>
      <c r="C80" s="7" t="str">
        <f>'01_KeHoach'!B80</f>
        <v>Tổng hợp &amp; Bàn giao</v>
      </c>
      <c r="D80" s="7" t="str">
        <f>'01_KeHoach'!D80</f>
        <v>Hoàn thiện báo cáo nghiên cứu và impact</v>
      </c>
      <c r="E80" s="15">
        <f>'01_KeHoach'!G80</f>
        <v>46321</v>
      </c>
      <c r="F80" s="15">
        <f>'01_KeHoach'!H80</f>
        <v>46324</v>
      </c>
      <c r="G80" s="18" t="str">
        <f t="shared" si="35"/>
        <v/>
      </c>
      <c r="H80" s="18" t="str">
        <f t="shared" si="35"/>
        <v/>
      </c>
      <c r="I80" s="18" t="str">
        <f t="shared" si="35"/>
        <v/>
      </c>
      <c r="J80" s="18" t="str">
        <f t="shared" si="35"/>
        <v/>
      </c>
      <c r="K80" s="18" t="str">
        <f t="shared" si="35"/>
        <v/>
      </c>
      <c r="L80" s="18" t="str">
        <f t="shared" si="35"/>
        <v/>
      </c>
      <c r="M80" s="18" t="str">
        <f t="shared" si="35"/>
        <v/>
      </c>
      <c r="N80" s="18" t="str">
        <f t="shared" si="35"/>
        <v/>
      </c>
      <c r="O80" s="18" t="str">
        <f t="shared" si="35"/>
        <v/>
      </c>
      <c r="P80" s="18" t="str">
        <f t="shared" si="35"/>
        <v/>
      </c>
      <c r="Q80" s="18" t="str">
        <f t="shared" si="36"/>
        <v/>
      </c>
      <c r="R80" s="18" t="str">
        <f t="shared" si="36"/>
        <v/>
      </c>
      <c r="S80" s="18" t="str">
        <f t="shared" si="36"/>
        <v/>
      </c>
      <c r="T80" s="18" t="str">
        <f t="shared" si="36"/>
        <v/>
      </c>
      <c r="U80" s="18" t="str">
        <f t="shared" si="36"/>
        <v/>
      </c>
      <c r="V80" s="18" t="str">
        <f t="shared" si="36"/>
        <v/>
      </c>
      <c r="W80" s="18" t="str">
        <f t="shared" si="36"/>
        <v/>
      </c>
      <c r="X80" s="18" t="str">
        <f t="shared" si="36"/>
        <v/>
      </c>
      <c r="Y80" s="18" t="str">
        <f t="shared" si="36"/>
        <v/>
      </c>
      <c r="Z80" s="18" t="str">
        <f t="shared" si="36"/>
        <v/>
      </c>
      <c r="AA80" s="18" t="str">
        <f t="shared" si="37"/>
        <v/>
      </c>
      <c r="AB80" s="18" t="str">
        <f t="shared" si="37"/>
        <v/>
      </c>
      <c r="AC80" s="18" t="str">
        <f t="shared" si="37"/>
        <v/>
      </c>
      <c r="AD80" s="18" t="str">
        <f t="shared" si="37"/>
        <v/>
      </c>
      <c r="AE80" s="18" t="str">
        <f t="shared" si="37"/>
        <v/>
      </c>
      <c r="AF80" s="18" t="str">
        <f t="shared" si="37"/>
        <v/>
      </c>
      <c r="AG80" s="18" t="str">
        <f t="shared" si="37"/>
        <v/>
      </c>
      <c r="AH80" s="18" t="str">
        <f t="shared" si="37"/>
        <v/>
      </c>
      <c r="AI80" s="18" t="str">
        <f t="shared" si="37"/>
        <v/>
      </c>
      <c r="AJ80" s="18" t="str">
        <f t="shared" si="37"/>
        <v/>
      </c>
      <c r="AK80" s="19" t="str">
        <f t="shared" si="38"/>
        <v/>
      </c>
      <c r="AL80" s="19" t="str">
        <f t="shared" si="38"/>
        <v/>
      </c>
      <c r="AM80" s="19" t="str">
        <f t="shared" si="38"/>
        <v/>
      </c>
      <c r="AN80" s="19" t="str">
        <f t="shared" si="38"/>
        <v/>
      </c>
      <c r="AO80" s="19" t="str">
        <f t="shared" si="38"/>
        <v/>
      </c>
      <c r="AP80" s="19" t="str">
        <f t="shared" si="38"/>
        <v/>
      </c>
      <c r="AQ80" s="19" t="str">
        <f t="shared" si="38"/>
        <v/>
      </c>
      <c r="AR80" s="19" t="str">
        <f t="shared" si="38"/>
        <v/>
      </c>
      <c r="AS80" s="19" t="str">
        <f t="shared" si="38"/>
        <v/>
      </c>
      <c r="AT80" s="19" t="str">
        <f t="shared" si="38"/>
        <v/>
      </c>
      <c r="AU80" s="19" t="str">
        <f t="shared" si="39"/>
        <v/>
      </c>
      <c r="AV80" s="19" t="str">
        <f t="shared" si="39"/>
        <v/>
      </c>
      <c r="AW80" s="19" t="str">
        <f t="shared" si="39"/>
        <v/>
      </c>
      <c r="AX80" s="19" t="str">
        <f t="shared" si="39"/>
        <v/>
      </c>
      <c r="AY80" s="19" t="str">
        <f t="shared" si="39"/>
        <v/>
      </c>
      <c r="AZ80" s="19" t="str">
        <f t="shared" si="39"/>
        <v>■</v>
      </c>
      <c r="BA80" s="19" t="str">
        <f t="shared" si="39"/>
        <v>■</v>
      </c>
      <c r="BB80" s="19" t="str">
        <f t="shared" si="39"/>
        <v>■</v>
      </c>
      <c r="BC80" s="19" t="str">
        <f t="shared" si="39"/>
        <v>■</v>
      </c>
      <c r="BD80" s="19" t="str">
        <f t="shared" si="39"/>
        <v/>
      </c>
    </row>
    <row r="81" spans="1:56" ht="24" customHeight="1">
      <c r="A81" s="11" t="str">
        <f>'01_KeHoach'!A81</f>
        <v>WBS-7.3</v>
      </c>
      <c r="B81" s="7" t="str">
        <f>'01_KeHoach'!C81</f>
        <v>W10</v>
      </c>
      <c r="C81" s="7" t="str">
        <f>'01_KeHoach'!B81</f>
        <v>Tổng hợp &amp; Bàn giao</v>
      </c>
      <c r="D81" s="7" t="str">
        <f>'01_KeHoach'!D81</f>
        <v>Hoàn thiện Lab Test Report</v>
      </c>
      <c r="E81" s="15">
        <f>'01_KeHoach'!G81</f>
        <v>46321</v>
      </c>
      <c r="F81" s="15">
        <f>'01_KeHoach'!H81</f>
        <v>46324</v>
      </c>
      <c r="G81" s="18" t="str">
        <f t="shared" si="35"/>
        <v/>
      </c>
      <c r="H81" s="18" t="str">
        <f t="shared" si="35"/>
        <v/>
      </c>
      <c r="I81" s="18" t="str">
        <f t="shared" si="35"/>
        <v/>
      </c>
      <c r="J81" s="18" t="str">
        <f t="shared" si="35"/>
        <v/>
      </c>
      <c r="K81" s="18" t="str">
        <f t="shared" si="35"/>
        <v/>
      </c>
      <c r="L81" s="18" t="str">
        <f t="shared" si="35"/>
        <v/>
      </c>
      <c r="M81" s="18" t="str">
        <f t="shared" si="35"/>
        <v/>
      </c>
      <c r="N81" s="18" t="str">
        <f t="shared" si="35"/>
        <v/>
      </c>
      <c r="O81" s="18" t="str">
        <f t="shared" si="35"/>
        <v/>
      </c>
      <c r="P81" s="18" t="str">
        <f t="shared" si="35"/>
        <v/>
      </c>
      <c r="Q81" s="18" t="str">
        <f t="shared" si="36"/>
        <v/>
      </c>
      <c r="R81" s="18" t="str">
        <f t="shared" si="36"/>
        <v/>
      </c>
      <c r="S81" s="18" t="str">
        <f t="shared" si="36"/>
        <v/>
      </c>
      <c r="T81" s="18" t="str">
        <f t="shared" si="36"/>
        <v/>
      </c>
      <c r="U81" s="18" t="str">
        <f t="shared" si="36"/>
        <v/>
      </c>
      <c r="V81" s="18" t="str">
        <f t="shared" si="36"/>
        <v/>
      </c>
      <c r="W81" s="18" t="str">
        <f t="shared" si="36"/>
        <v/>
      </c>
      <c r="X81" s="18" t="str">
        <f t="shared" si="36"/>
        <v/>
      </c>
      <c r="Y81" s="18" t="str">
        <f t="shared" si="36"/>
        <v/>
      </c>
      <c r="Z81" s="18" t="str">
        <f t="shared" si="36"/>
        <v/>
      </c>
      <c r="AA81" s="18" t="str">
        <f t="shared" si="37"/>
        <v/>
      </c>
      <c r="AB81" s="18" t="str">
        <f t="shared" si="37"/>
        <v/>
      </c>
      <c r="AC81" s="18" t="str">
        <f t="shared" si="37"/>
        <v/>
      </c>
      <c r="AD81" s="18" t="str">
        <f t="shared" si="37"/>
        <v/>
      </c>
      <c r="AE81" s="18" t="str">
        <f t="shared" si="37"/>
        <v/>
      </c>
      <c r="AF81" s="18" t="str">
        <f t="shared" si="37"/>
        <v/>
      </c>
      <c r="AG81" s="18" t="str">
        <f t="shared" si="37"/>
        <v/>
      </c>
      <c r="AH81" s="18" t="str">
        <f t="shared" si="37"/>
        <v/>
      </c>
      <c r="AI81" s="18" t="str">
        <f t="shared" si="37"/>
        <v/>
      </c>
      <c r="AJ81" s="18" t="str">
        <f t="shared" si="37"/>
        <v/>
      </c>
      <c r="AK81" s="19" t="str">
        <f t="shared" si="38"/>
        <v/>
      </c>
      <c r="AL81" s="19" t="str">
        <f t="shared" si="38"/>
        <v/>
      </c>
      <c r="AM81" s="19" t="str">
        <f t="shared" si="38"/>
        <v/>
      </c>
      <c r="AN81" s="19" t="str">
        <f t="shared" si="38"/>
        <v/>
      </c>
      <c r="AO81" s="19" t="str">
        <f t="shared" si="38"/>
        <v/>
      </c>
      <c r="AP81" s="19" t="str">
        <f t="shared" si="38"/>
        <v/>
      </c>
      <c r="AQ81" s="19" t="str">
        <f t="shared" si="38"/>
        <v/>
      </c>
      <c r="AR81" s="19" t="str">
        <f t="shared" si="38"/>
        <v/>
      </c>
      <c r="AS81" s="19" t="str">
        <f t="shared" si="38"/>
        <v/>
      </c>
      <c r="AT81" s="19" t="str">
        <f t="shared" si="38"/>
        <v/>
      </c>
      <c r="AU81" s="19" t="str">
        <f t="shared" si="39"/>
        <v/>
      </c>
      <c r="AV81" s="19" t="str">
        <f t="shared" si="39"/>
        <v/>
      </c>
      <c r="AW81" s="19" t="str">
        <f t="shared" si="39"/>
        <v/>
      </c>
      <c r="AX81" s="19" t="str">
        <f t="shared" si="39"/>
        <v/>
      </c>
      <c r="AY81" s="19" t="str">
        <f t="shared" si="39"/>
        <v/>
      </c>
      <c r="AZ81" s="19" t="str">
        <f t="shared" si="39"/>
        <v>■</v>
      </c>
      <c r="BA81" s="19" t="str">
        <f t="shared" si="39"/>
        <v>■</v>
      </c>
      <c r="BB81" s="19" t="str">
        <f t="shared" si="39"/>
        <v>■</v>
      </c>
      <c r="BC81" s="19" t="str">
        <f t="shared" si="39"/>
        <v>■</v>
      </c>
      <c r="BD81" s="19" t="str">
        <f t="shared" si="39"/>
        <v/>
      </c>
    </row>
    <row r="82" spans="1:56" ht="24" customHeight="1">
      <c r="A82" s="11" t="str">
        <f>'01_KeHoach'!A82</f>
        <v>WBS-7.4</v>
      </c>
      <c r="B82" s="7" t="str">
        <f>'01_KeHoach'!C82</f>
        <v>W10</v>
      </c>
      <c r="C82" s="7" t="str">
        <f>'01_KeHoach'!B82</f>
        <v>Tổng hợp &amp; Bàn giao</v>
      </c>
      <c r="D82" s="7" t="str">
        <f>'01_KeHoach'!D82</f>
        <v>Phát hành Master Runbook v1.0</v>
      </c>
      <c r="E82" s="15">
        <f>'01_KeHoach'!G82</f>
        <v>46323</v>
      </c>
      <c r="F82" s="15">
        <f>'01_KeHoach'!H82</f>
        <v>46324</v>
      </c>
      <c r="G82" s="18" t="str">
        <f t="shared" si="35"/>
        <v/>
      </c>
      <c r="H82" s="18" t="str">
        <f t="shared" si="35"/>
        <v/>
      </c>
      <c r="I82" s="18" t="str">
        <f t="shared" si="35"/>
        <v/>
      </c>
      <c r="J82" s="18" t="str">
        <f t="shared" si="35"/>
        <v/>
      </c>
      <c r="K82" s="18" t="str">
        <f t="shared" si="35"/>
        <v/>
      </c>
      <c r="L82" s="18" t="str">
        <f t="shared" si="35"/>
        <v/>
      </c>
      <c r="M82" s="18" t="str">
        <f t="shared" si="35"/>
        <v/>
      </c>
      <c r="N82" s="18" t="str">
        <f t="shared" si="35"/>
        <v/>
      </c>
      <c r="O82" s="18" t="str">
        <f t="shared" si="35"/>
        <v/>
      </c>
      <c r="P82" s="18" t="str">
        <f t="shared" si="35"/>
        <v/>
      </c>
      <c r="Q82" s="18" t="str">
        <f t="shared" si="36"/>
        <v/>
      </c>
      <c r="R82" s="18" t="str">
        <f t="shared" si="36"/>
        <v/>
      </c>
      <c r="S82" s="18" t="str">
        <f t="shared" si="36"/>
        <v/>
      </c>
      <c r="T82" s="18" t="str">
        <f t="shared" si="36"/>
        <v/>
      </c>
      <c r="U82" s="18" t="str">
        <f t="shared" si="36"/>
        <v/>
      </c>
      <c r="V82" s="18" t="str">
        <f t="shared" si="36"/>
        <v/>
      </c>
      <c r="W82" s="18" t="str">
        <f t="shared" si="36"/>
        <v/>
      </c>
      <c r="X82" s="18" t="str">
        <f t="shared" si="36"/>
        <v/>
      </c>
      <c r="Y82" s="18" t="str">
        <f t="shared" si="36"/>
        <v/>
      </c>
      <c r="Z82" s="18" t="str">
        <f t="shared" si="36"/>
        <v/>
      </c>
      <c r="AA82" s="18" t="str">
        <f t="shared" si="37"/>
        <v/>
      </c>
      <c r="AB82" s="18" t="str">
        <f t="shared" si="37"/>
        <v/>
      </c>
      <c r="AC82" s="18" t="str">
        <f t="shared" si="37"/>
        <v/>
      </c>
      <c r="AD82" s="18" t="str">
        <f t="shared" si="37"/>
        <v/>
      </c>
      <c r="AE82" s="18" t="str">
        <f t="shared" si="37"/>
        <v/>
      </c>
      <c r="AF82" s="18" t="str">
        <f t="shared" si="37"/>
        <v/>
      </c>
      <c r="AG82" s="18" t="str">
        <f t="shared" si="37"/>
        <v/>
      </c>
      <c r="AH82" s="18" t="str">
        <f t="shared" si="37"/>
        <v/>
      </c>
      <c r="AI82" s="18" t="str">
        <f t="shared" si="37"/>
        <v/>
      </c>
      <c r="AJ82" s="18" t="str">
        <f t="shared" si="37"/>
        <v/>
      </c>
      <c r="AK82" s="19" t="str">
        <f t="shared" si="38"/>
        <v/>
      </c>
      <c r="AL82" s="19" t="str">
        <f t="shared" si="38"/>
        <v/>
      </c>
      <c r="AM82" s="19" t="str">
        <f t="shared" si="38"/>
        <v/>
      </c>
      <c r="AN82" s="19" t="str">
        <f t="shared" si="38"/>
        <v/>
      </c>
      <c r="AO82" s="19" t="str">
        <f t="shared" si="38"/>
        <v/>
      </c>
      <c r="AP82" s="19" t="str">
        <f t="shared" si="38"/>
        <v/>
      </c>
      <c r="AQ82" s="19" t="str">
        <f t="shared" si="38"/>
        <v/>
      </c>
      <c r="AR82" s="19" t="str">
        <f t="shared" si="38"/>
        <v/>
      </c>
      <c r="AS82" s="19" t="str">
        <f t="shared" si="38"/>
        <v/>
      </c>
      <c r="AT82" s="19" t="str">
        <f t="shared" si="38"/>
        <v/>
      </c>
      <c r="AU82" s="19" t="str">
        <f t="shared" si="39"/>
        <v/>
      </c>
      <c r="AV82" s="19" t="str">
        <f t="shared" si="39"/>
        <v/>
      </c>
      <c r="AW82" s="19" t="str">
        <f t="shared" si="39"/>
        <v/>
      </c>
      <c r="AX82" s="19" t="str">
        <f t="shared" si="39"/>
        <v/>
      </c>
      <c r="AY82" s="19" t="str">
        <f t="shared" si="39"/>
        <v/>
      </c>
      <c r="AZ82" s="19" t="str">
        <f t="shared" si="39"/>
        <v/>
      </c>
      <c r="BA82" s="19" t="str">
        <f t="shared" si="39"/>
        <v/>
      </c>
      <c r="BB82" s="19" t="str">
        <f t="shared" si="39"/>
        <v>■</v>
      </c>
      <c r="BC82" s="19" t="str">
        <f t="shared" si="39"/>
        <v>■</v>
      </c>
      <c r="BD82" s="19" t="str">
        <f t="shared" si="39"/>
        <v/>
      </c>
    </row>
    <row r="83" spans="1:56" ht="24" customHeight="1">
      <c r="A83" s="11" t="str">
        <f>'01_KeHoach'!A83</f>
        <v>WBS-7.5</v>
      </c>
      <c r="B83" s="7" t="str">
        <f>'01_KeHoach'!C83</f>
        <v>W10</v>
      </c>
      <c r="C83" s="7" t="str">
        <f>'01_KeHoach'!B83</f>
        <v>Tổng hợp &amp; Bàn giao</v>
      </c>
      <c r="D83" s="7" t="str">
        <f>'01_KeHoach'!D83</f>
        <v>Phát hành toàn bộ checklist Production-ready</v>
      </c>
      <c r="E83" s="15">
        <f>'01_KeHoach'!G83</f>
        <v>46323</v>
      </c>
      <c r="F83" s="15">
        <f>'01_KeHoach'!H83</f>
        <v>46324</v>
      </c>
      <c r="G83" s="18" t="str">
        <f t="shared" si="35"/>
        <v/>
      </c>
      <c r="H83" s="18" t="str">
        <f t="shared" si="35"/>
        <v/>
      </c>
      <c r="I83" s="18" t="str">
        <f t="shared" si="35"/>
        <v/>
      </c>
      <c r="J83" s="18" t="str">
        <f t="shared" si="35"/>
        <v/>
      </c>
      <c r="K83" s="18" t="str">
        <f t="shared" si="35"/>
        <v/>
      </c>
      <c r="L83" s="18" t="str">
        <f t="shared" si="35"/>
        <v/>
      </c>
      <c r="M83" s="18" t="str">
        <f t="shared" si="35"/>
        <v/>
      </c>
      <c r="N83" s="18" t="str">
        <f t="shared" si="35"/>
        <v/>
      </c>
      <c r="O83" s="18" t="str">
        <f t="shared" si="35"/>
        <v/>
      </c>
      <c r="P83" s="18" t="str">
        <f t="shared" si="35"/>
        <v/>
      </c>
      <c r="Q83" s="18" t="str">
        <f t="shared" si="36"/>
        <v/>
      </c>
      <c r="R83" s="18" t="str">
        <f t="shared" si="36"/>
        <v/>
      </c>
      <c r="S83" s="18" t="str">
        <f t="shared" si="36"/>
        <v/>
      </c>
      <c r="T83" s="18" t="str">
        <f t="shared" si="36"/>
        <v/>
      </c>
      <c r="U83" s="18" t="str">
        <f t="shared" si="36"/>
        <v/>
      </c>
      <c r="V83" s="18" t="str">
        <f t="shared" si="36"/>
        <v/>
      </c>
      <c r="W83" s="18" t="str">
        <f t="shared" si="36"/>
        <v/>
      </c>
      <c r="X83" s="18" t="str">
        <f t="shared" si="36"/>
        <v/>
      </c>
      <c r="Y83" s="18" t="str">
        <f t="shared" si="36"/>
        <v/>
      </c>
      <c r="Z83" s="18" t="str">
        <f t="shared" si="36"/>
        <v/>
      </c>
      <c r="AA83" s="18" t="str">
        <f t="shared" si="37"/>
        <v/>
      </c>
      <c r="AB83" s="18" t="str">
        <f t="shared" si="37"/>
        <v/>
      </c>
      <c r="AC83" s="18" t="str">
        <f t="shared" si="37"/>
        <v/>
      </c>
      <c r="AD83" s="18" t="str">
        <f t="shared" si="37"/>
        <v/>
      </c>
      <c r="AE83" s="18" t="str">
        <f t="shared" si="37"/>
        <v/>
      </c>
      <c r="AF83" s="18" t="str">
        <f t="shared" si="37"/>
        <v/>
      </c>
      <c r="AG83" s="18" t="str">
        <f t="shared" si="37"/>
        <v/>
      </c>
      <c r="AH83" s="18" t="str">
        <f t="shared" si="37"/>
        <v/>
      </c>
      <c r="AI83" s="18" t="str">
        <f t="shared" si="37"/>
        <v/>
      </c>
      <c r="AJ83" s="18" t="str">
        <f t="shared" si="37"/>
        <v/>
      </c>
      <c r="AK83" s="19" t="str">
        <f t="shared" si="38"/>
        <v/>
      </c>
      <c r="AL83" s="19" t="str">
        <f t="shared" si="38"/>
        <v/>
      </c>
      <c r="AM83" s="19" t="str">
        <f t="shared" si="38"/>
        <v/>
      </c>
      <c r="AN83" s="19" t="str">
        <f t="shared" si="38"/>
        <v/>
      </c>
      <c r="AO83" s="19" t="str">
        <f t="shared" si="38"/>
        <v/>
      </c>
      <c r="AP83" s="19" t="str">
        <f t="shared" si="38"/>
        <v/>
      </c>
      <c r="AQ83" s="19" t="str">
        <f t="shared" si="38"/>
        <v/>
      </c>
      <c r="AR83" s="19" t="str">
        <f t="shared" si="38"/>
        <v/>
      </c>
      <c r="AS83" s="19" t="str">
        <f t="shared" si="38"/>
        <v/>
      </c>
      <c r="AT83" s="19" t="str">
        <f t="shared" si="38"/>
        <v/>
      </c>
      <c r="AU83" s="19" t="str">
        <f t="shared" si="39"/>
        <v/>
      </c>
      <c r="AV83" s="19" t="str">
        <f t="shared" si="39"/>
        <v/>
      </c>
      <c r="AW83" s="19" t="str">
        <f t="shared" si="39"/>
        <v/>
      </c>
      <c r="AX83" s="19" t="str">
        <f t="shared" si="39"/>
        <v/>
      </c>
      <c r="AY83" s="19" t="str">
        <f t="shared" si="39"/>
        <v/>
      </c>
      <c r="AZ83" s="19" t="str">
        <f t="shared" si="39"/>
        <v/>
      </c>
      <c r="BA83" s="19" t="str">
        <f t="shared" si="39"/>
        <v/>
      </c>
      <c r="BB83" s="19" t="str">
        <f t="shared" si="39"/>
        <v>■</v>
      </c>
      <c r="BC83" s="19" t="str">
        <f t="shared" si="39"/>
        <v>■</v>
      </c>
      <c r="BD83" s="19" t="str">
        <f t="shared" si="39"/>
        <v/>
      </c>
    </row>
    <row r="84" spans="1:56" ht="24" customHeight="1">
      <c r="A84" s="11" t="str">
        <f>'01_KeHoach'!A84</f>
        <v>WBS-7.6</v>
      </c>
      <c r="B84" s="7" t="str">
        <f>'01_KeHoach'!C84</f>
        <v>W10</v>
      </c>
      <c r="C84" s="7" t="str">
        <f>'01_KeHoach'!B84</f>
        <v>Tổng hợp &amp; Bàn giao</v>
      </c>
      <c r="D84" s="7" t="str">
        <f>'01_KeHoach'!D84</f>
        <v>Hoàn thiện Backup/Recovery và Rollback/Fix-forward</v>
      </c>
      <c r="E84" s="15">
        <f>'01_KeHoach'!G84</f>
        <v>46323</v>
      </c>
      <c r="F84" s="15">
        <f>'01_KeHoach'!H84</f>
        <v>46324</v>
      </c>
      <c r="G84" s="18" t="str">
        <f t="shared" si="35"/>
        <v/>
      </c>
      <c r="H84" s="18" t="str">
        <f t="shared" si="35"/>
        <v/>
      </c>
      <c r="I84" s="18" t="str">
        <f t="shared" si="35"/>
        <v/>
      </c>
      <c r="J84" s="18" t="str">
        <f t="shared" si="35"/>
        <v/>
      </c>
      <c r="K84" s="18" t="str">
        <f t="shared" si="35"/>
        <v/>
      </c>
      <c r="L84" s="18" t="str">
        <f t="shared" si="35"/>
        <v/>
      </c>
      <c r="M84" s="18" t="str">
        <f t="shared" si="35"/>
        <v/>
      </c>
      <c r="N84" s="18" t="str">
        <f t="shared" si="35"/>
        <v/>
      </c>
      <c r="O84" s="18" t="str">
        <f t="shared" si="35"/>
        <v/>
      </c>
      <c r="P84" s="18" t="str">
        <f t="shared" si="35"/>
        <v/>
      </c>
      <c r="Q84" s="18" t="str">
        <f t="shared" si="36"/>
        <v/>
      </c>
      <c r="R84" s="18" t="str">
        <f t="shared" si="36"/>
        <v/>
      </c>
      <c r="S84" s="18" t="str">
        <f t="shared" si="36"/>
        <v/>
      </c>
      <c r="T84" s="18" t="str">
        <f t="shared" si="36"/>
        <v/>
      </c>
      <c r="U84" s="18" t="str">
        <f t="shared" si="36"/>
        <v/>
      </c>
      <c r="V84" s="18" t="str">
        <f t="shared" si="36"/>
        <v/>
      </c>
      <c r="W84" s="18" t="str">
        <f t="shared" si="36"/>
        <v/>
      </c>
      <c r="X84" s="18" t="str">
        <f t="shared" si="36"/>
        <v/>
      </c>
      <c r="Y84" s="18" t="str">
        <f t="shared" si="36"/>
        <v/>
      </c>
      <c r="Z84" s="18" t="str">
        <f t="shared" si="36"/>
        <v/>
      </c>
      <c r="AA84" s="18" t="str">
        <f t="shared" si="37"/>
        <v/>
      </c>
      <c r="AB84" s="18" t="str">
        <f t="shared" si="37"/>
        <v/>
      </c>
      <c r="AC84" s="18" t="str">
        <f t="shared" si="37"/>
        <v/>
      </c>
      <c r="AD84" s="18" t="str">
        <f t="shared" si="37"/>
        <v/>
      </c>
      <c r="AE84" s="18" t="str">
        <f t="shared" si="37"/>
        <v/>
      </c>
      <c r="AF84" s="18" t="str">
        <f t="shared" si="37"/>
        <v/>
      </c>
      <c r="AG84" s="18" t="str">
        <f t="shared" si="37"/>
        <v/>
      </c>
      <c r="AH84" s="18" t="str">
        <f t="shared" si="37"/>
        <v/>
      </c>
      <c r="AI84" s="18" t="str">
        <f t="shared" si="37"/>
        <v/>
      </c>
      <c r="AJ84" s="18" t="str">
        <f t="shared" si="37"/>
        <v/>
      </c>
      <c r="AK84" s="19" t="str">
        <f t="shared" si="38"/>
        <v/>
      </c>
      <c r="AL84" s="19" t="str">
        <f t="shared" si="38"/>
        <v/>
      </c>
      <c r="AM84" s="19" t="str">
        <f t="shared" si="38"/>
        <v/>
      </c>
      <c r="AN84" s="19" t="str">
        <f t="shared" si="38"/>
        <v/>
      </c>
      <c r="AO84" s="19" t="str">
        <f t="shared" si="38"/>
        <v/>
      </c>
      <c r="AP84" s="19" t="str">
        <f t="shared" si="38"/>
        <v/>
      </c>
      <c r="AQ84" s="19" t="str">
        <f t="shared" si="38"/>
        <v/>
      </c>
      <c r="AR84" s="19" t="str">
        <f t="shared" si="38"/>
        <v/>
      </c>
      <c r="AS84" s="19" t="str">
        <f t="shared" si="38"/>
        <v/>
      </c>
      <c r="AT84" s="19" t="str">
        <f t="shared" si="38"/>
        <v/>
      </c>
      <c r="AU84" s="19" t="str">
        <f t="shared" si="39"/>
        <v/>
      </c>
      <c r="AV84" s="19" t="str">
        <f t="shared" si="39"/>
        <v/>
      </c>
      <c r="AW84" s="19" t="str">
        <f t="shared" si="39"/>
        <v/>
      </c>
      <c r="AX84" s="19" t="str">
        <f t="shared" si="39"/>
        <v/>
      </c>
      <c r="AY84" s="19" t="str">
        <f t="shared" si="39"/>
        <v/>
      </c>
      <c r="AZ84" s="19" t="str">
        <f t="shared" si="39"/>
        <v/>
      </c>
      <c r="BA84" s="19" t="str">
        <f t="shared" si="39"/>
        <v/>
      </c>
      <c r="BB84" s="19" t="str">
        <f t="shared" si="39"/>
        <v>■</v>
      </c>
      <c r="BC84" s="19" t="str">
        <f t="shared" si="39"/>
        <v>■</v>
      </c>
      <c r="BD84" s="19" t="str">
        <f t="shared" si="39"/>
        <v/>
      </c>
    </row>
    <row r="85" spans="1:56" ht="24" customHeight="1">
      <c r="A85" s="11" t="str">
        <f>'01_KeHoach'!A85</f>
        <v>WBS-7.7</v>
      </c>
      <c r="B85" s="7" t="str">
        <f>'01_KeHoach'!C85</f>
        <v>W10</v>
      </c>
      <c r="C85" s="7" t="str">
        <f>'01_KeHoach'!B85</f>
        <v>Tổng hợp &amp; Bàn giao</v>
      </c>
      <c r="D85" s="7" t="str">
        <f>'01_KeHoach'!D85</f>
        <v>Lập Production Readiness &amp; GO/NO-GO Recommendation</v>
      </c>
      <c r="E85" s="15">
        <f>'01_KeHoach'!G85</f>
        <v>46324</v>
      </c>
      <c r="F85" s="15">
        <f>'01_KeHoach'!H85</f>
        <v>46324</v>
      </c>
      <c r="G85" s="18" t="str">
        <f t="shared" si="35"/>
        <v/>
      </c>
      <c r="H85" s="18" t="str">
        <f t="shared" si="35"/>
        <v/>
      </c>
      <c r="I85" s="18" t="str">
        <f t="shared" si="35"/>
        <v/>
      </c>
      <c r="J85" s="18" t="str">
        <f t="shared" si="35"/>
        <v/>
      </c>
      <c r="K85" s="18" t="str">
        <f t="shared" si="35"/>
        <v/>
      </c>
      <c r="L85" s="18" t="str">
        <f t="shared" si="35"/>
        <v/>
      </c>
      <c r="M85" s="18" t="str">
        <f t="shared" si="35"/>
        <v/>
      </c>
      <c r="N85" s="18" t="str">
        <f t="shared" si="35"/>
        <v/>
      </c>
      <c r="O85" s="18" t="str">
        <f t="shared" si="35"/>
        <v/>
      </c>
      <c r="P85" s="18" t="str">
        <f t="shared" si="35"/>
        <v/>
      </c>
      <c r="Q85" s="18" t="str">
        <f t="shared" si="36"/>
        <v/>
      </c>
      <c r="R85" s="18" t="str">
        <f t="shared" si="36"/>
        <v/>
      </c>
      <c r="S85" s="18" t="str">
        <f t="shared" si="36"/>
        <v/>
      </c>
      <c r="T85" s="18" t="str">
        <f t="shared" si="36"/>
        <v/>
      </c>
      <c r="U85" s="18" t="str">
        <f t="shared" si="36"/>
        <v/>
      </c>
      <c r="V85" s="18" t="str">
        <f t="shared" si="36"/>
        <v/>
      </c>
      <c r="W85" s="18" t="str">
        <f t="shared" si="36"/>
        <v/>
      </c>
      <c r="X85" s="18" t="str">
        <f t="shared" si="36"/>
        <v/>
      </c>
      <c r="Y85" s="18" t="str">
        <f t="shared" si="36"/>
        <v/>
      </c>
      <c r="Z85" s="18" t="str">
        <f t="shared" si="36"/>
        <v/>
      </c>
      <c r="AA85" s="18" t="str">
        <f t="shared" si="37"/>
        <v/>
      </c>
      <c r="AB85" s="18" t="str">
        <f t="shared" si="37"/>
        <v/>
      </c>
      <c r="AC85" s="18" t="str">
        <f t="shared" si="37"/>
        <v/>
      </c>
      <c r="AD85" s="18" t="str">
        <f t="shared" si="37"/>
        <v/>
      </c>
      <c r="AE85" s="18" t="str">
        <f t="shared" si="37"/>
        <v/>
      </c>
      <c r="AF85" s="18" t="str">
        <f t="shared" si="37"/>
        <v/>
      </c>
      <c r="AG85" s="18" t="str">
        <f t="shared" si="37"/>
        <v/>
      </c>
      <c r="AH85" s="18" t="str">
        <f t="shared" si="37"/>
        <v/>
      </c>
      <c r="AI85" s="18" t="str">
        <f t="shared" si="37"/>
        <v/>
      </c>
      <c r="AJ85" s="18" t="str">
        <f t="shared" si="37"/>
        <v/>
      </c>
      <c r="AK85" s="19" t="str">
        <f t="shared" si="38"/>
        <v/>
      </c>
      <c r="AL85" s="19" t="str">
        <f t="shared" si="38"/>
        <v/>
      </c>
      <c r="AM85" s="19" t="str">
        <f t="shared" si="38"/>
        <v/>
      </c>
      <c r="AN85" s="19" t="str">
        <f t="shared" si="38"/>
        <v/>
      </c>
      <c r="AO85" s="19" t="str">
        <f t="shared" si="38"/>
        <v/>
      </c>
      <c r="AP85" s="19" t="str">
        <f t="shared" si="38"/>
        <v/>
      </c>
      <c r="AQ85" s="19" t="str">
        <f t="shared" si="38"/>
        <v/>
      </c>
      <c r="AR85" s="19" t="str">
        <f t="shared" si="38"/>
        <v/>
      </c>
      <c r="AS85" s="19" t="str">
        <f t="shared" si="38"/>
        <v/>
      </c>
      <c r="AT85" s="19" t="str">
        <f t="shared" si="38"/>
        <v/>
      </c>
      <c r="AU85" s="19" t="str">
        <f t="shared" si="39"/>
        <v/>
      </c>
      <c r="AV85" s="19" t="str">
        <f t="shared" si="39"/>
        <v/>
      </c>
      <c r="AW85" s="19" t="str">
        <f t="shared" si="39"/>
        <v/>
      </c>
      <c r="AX85" s="19" t="str">
        <f t="shared" si="39"/>
        <v/>
      </c>
      <c r="AY85" s="19" t="str">
        <f t="shared" si="39"/>
        <v/>
      </c>
      <c r="AZ85" s="19" t="str">
        <f t="shared" si="39"/>
        <v/>
      </c>
      <c r="BA85" s="19" t="str">
        <f t="shared" si="39"/>
        <v/>
      </c>
      <c r="BB85" s="19" t="str">
        <f t="shared" si="39"/>
        <v/>
      </c>
      <c r="BC85" s="19" t="str">
        <f t="shared" si="39"/>
        <v>■</v>
      </c>
      <c r="BD85" s="19" t="str">
        <f t="shared" si="39"/>
        <v/>
      </c>
    </row>
    <row r="86" spans="1:56" ht="24" customHeight="1">
      <c r="A86" s="11" t="str">
        <f>'01_KeHoach'!A86</f>
        <v>WBS-7.8</v>
      </c>
      <c r="B86" s="7" t="str">
        <f>'01_KeHoach'!C86</f>
        <v>W10</v>
      </c>
      <c r="C86" s="7" t="str">
        <f>'01_KeHoach'!B86</f>
        <v>Tổng hợp &amp; Bàn giao</v>
      </c>
      <c r="D86" s="7" t="str">
        <f>'01_KeHoach'!D86</f>
        <v>Peer review/CAB simulation</v>
      </c>
      <c r="E86" s="15">
        <f>'01_KeHoach'!G86</f>
        <v>46324</v>
      </c>
      <c r="F86" s="15">
        <f>'01_KeHoach'!H86</f>
        <v>46324</v>
      </c>
      <c r="G86" s="18" t="str">
        <f t="shared" si="35"/>
        <v/>
      </c>
      <c r="H86" s="18" t="str">
        <f t="shared" si="35"/>
        <v/>
      </c>
      <c r="I86" s="18" t="str">
        <f t="shared" si="35"/>
        <v/>
      </c>
      <c r="J86" s="18" t="str">
        <f t="shared" si="35"/>
        <v/>
      </c>
      <c r="K86" s="18" t="str">
        <f t="shared" si="35"/>
        <v/>
      </c>
      <c r="L86" s="18" t="str">
        <f t="shared" si="35"/>
        <v/>
      </c>
      <c r="M86" s="18" t="str">
        <f t="shared" si="35"/>
        <v/>
      </c>
      <c r="N86" s="18" t="str">
        <f t="shared" si="35"/>
        <v/>
      </c>
      <c r="O86" s="18" t="str">
        <f t="shared" si="35"/>
        <v/>
      </c>
      <c r="P86" s="18" t="str">
        <f t="shared" si="35"/>
        <v/>
      </c>
      <c r="Q86" s="18" t="str">
        <f t="shared" si="36"/>
        <v/>
      </c>
      <c r="R86" s="18" t="str">
        <f t="shared" si="36"/>
        <v/>
      </c>
      <c r="S86" s="18" t="str">
        <f t="shared" si="36"/>
        <v/>
      </c>
      <c r="T86" s="18" t="str">
        <f t="shared" si="36"/>
        <v/>
      </c>
      <c r="U86" s="18" t="str">
        <f t="shared" si="36"/>
        <v/>
      </c>
      <c r="V86" s="18" t="str">
        <f t="shared" si="36"/>
        <v/>
      </c>
      <c r="W86" s="18" t="str">
        <f t="shared" si="36"/>
        <v/>
      </c>
      <c r="X86" s="18" t="str">
        <f t="shared" si="36"/>
        <v/>
      </c>
      <c r="Y86" s="18" t="str">
        <f t="shared" si="36"/>
        <v/>
      </c>
      <c r="Z86" s="18" t="str">
        <f t="shared" si="36"/>
        <v/>
      </c>
      <c r="AA86" s="18" t="str">
        <f t="shared" si="37"/>
        <v/>
      </c>
      <c r="AB86" s="18" t="str">
        <f t="shared" si="37"/>
        <v/>
      </c>
      <c r="AC86" s="18" t="str">
        <f t="shared" si="37"/>
        <v/>
      </c>
      <c r="AD86" s="18" t="str">
        <f t="shared" si="37"/>
        <v/>
      </c>
      <c r="AE86" s="18" t="str">
        <f t="shared" si="37"/>
        <v/>
      </c>
      <c r="AF86" s="18" t="str">
        <f t="shared" si="37"/>
        <v/>
      </c>
      <c r="AG86" s="18" t="str">
        <f t="shared" si="37"/>
        <v/>
      </c>
      <c r="AH86" s="18" t="str">
        <f t="shared" si="37"/>
        <v/>
      </c>
      <c r="AI86" s="18" t="str">
        <f t="shared" si="37"/>
        <v/>
      </c>
      <c r="AJ86" s="18" t="str">
        <f t="shared" si="37"/>
        <v/>
      </c>
      <c r="AK86" s="19" t="str">
        <f t="shared" si="38"/>
        <v/>
      </c>
      <c r="AL86" s="19" t="str">
        <f t="shared" si="38"/>
        <v/>
      </c>
      <c r="AM86" s="19" t="str">
        <f t="shared" si="38"/>
        <v/>
      </c>
      <c r="AN86" s="19" t="str">
        <f t="shared" si="38"/>
        <v/>
      </c>
      <c r="AO86" s="19" t="str">
        <f t="shared" si="38"/>
        <v/>
      </c>
      <c r="AP86" s="19" t="str">
        <f t="shared" si="38"/>
        <v/>
      </c>
      <c r="AQ86" s="19" t="str">
        <f t="shared" si="38"/>
        <v/>
      </c>
      <c r="AR86" s="19" t="str">
        <f t="shared" si="38"/>
        <v/>
      </c>
      <c r="AS86" s="19" t="str">
        <f t="shared" si="38"/>
        <v/>
      </c>
      <c r="AT86" s="19" t="str">
        <f t="shared" si="38"/>
        <v/>
      </c>
      <c r="AU86" s="19" t="str">
        <f t="shared" si="39"/>
        <v/>
      </c>
      <c r="AV86" s="19" t="str">
        <f t="shared" si="39"/>
        <v/>
      </c>
      <c r="AW86" s="19" t="str">
        <f t="shared" si="39"/>
        <v/>
      </c>
      <c r="AX86" s="19" t="str">
        <f t="shared" si="39"/>
        <v/>
      </c>
      <c r="AY86" s="19" t="str">
        <f t="shared" si="39"/>
        <v/>
      </c>
      <c r="AZ86" s="19" t="str">
        <f t="shared" si="39"/>
        <v/>
      </c>
      <c r="BA86" s="19" t="str">
        <f t="shared" si="39"/>
        <v/>
      </c>
      <c r="BB86" s="19" t="str">
        <f t="shared" si="39"/>
        <v/>
      </c>
      <c r="BC86" s="19" t="str">
        <f t="shared" si="39"/>
        <v>■</v>
      </c>
      <c r="BD86" s="19" t="str">
        <f t="shared" si="39"/>
        <v/>
      </c>
    </row>
    <row r="87" spans="1:56" ht="24" customHeight="1">
      <c r="A87" s="11" t="str">
        <f>'01_KeHoach'!A87</f>
        <v>WBS-7.9</v>
      </c>
      <c r="B87" s="7" t="str">
        <f>'01_KeHoach'!C87</f>
        <v>W10</v>
      </c>
      <c r="C87" s="7" t="str">
        <f>'01_KeHoach'!B87</f>
        <v>Tổng hợp &amp; Bàn giao</v>
      </c>
      <c r="D87" s="7" t="str">
        <f>'01_KeHoach'!D87</f>
        <v>Đóng gói và bàn giao</v>
      </c>
      <c r="E87" s="15">
        <f>'01_KeHoach'!G87</f>
        <v>46325</v>
      </c>
      <c r="F87" s="15">
        <f>'01_KeHoach'!H87</f>
        <v>46325</v>
      </c>
      <c r="G87" s="18" t="str">
        <f t="shared" si="35"/>
        <v/>
      </c>
      <c r="H87" s="18" t="str">
        <f t="shared" si="35"/>
        <v/>
      </c>
      <c r="I87" s="18" t="str">
        <f t="shared" si="35"/>
        <v/>
      </c>
      <c r="J87" s="18" t="str">
        <f t="shared" si="35"/>
        <v/>
      </c>
      <c r="K87" s="18" t="str">
        <f t="shared" si="35"/>
        <v/>
      </c>
      <c r="L87" s="18" t="str">
        <f t="shared" si="35"/>
        <v/>
      </c>
      <c r="M87" s="18" t="str">
        <f t="shared" si="35"/>
        <v/>
      </c>
      <c r="N87" s="18" t="str">
        <f t="shared" si="35"/>
        <v/>
      </c>
      <c r="O87" s="18" t="str">
        <f t="shared" si="35"/>
        <v/>
      </c>
      <c r="P87" s="18" t="str">
        <f t="shared" si="35"/>
        <v/>
      </c>
      <c r="Q87" s="18" t="str">
        <f t="shared" si="36"/>
        <v/>
      </c>
      <c r="R87" s="18" t="str">
        <f t="shared" si="36"/>
        <v/>
      </c>
      <c r="S87" s="18" t="str">
        <f t="shared" si="36"/>
        <v/>
      </c>
      <c r="T87" s="18" t="str">
        <f t="shared" si="36"/>
        <v/>
      </c>
      <c r="U87" s="18" t="str">
        <f t="shared" si="36"/>
        <v/>
      </c>
      <c r="V87" s="18" t="str">
        <f t="shared" si="36"/>
        <v/>
      </c>
      <c r="W87" s="18" t="str">
        <f t="shared" si="36"/>
        <v/>
      </c>
      <c r="X87" s="18" t="str">
        <f t="shared" si="36"/>
        <v/>
      </c>
      <c r="Y87" s="18" t="str">
        <f t="shared" si="36"/>
        <v/>
      </c>
      <c r="Z87" s="18" t="str">
        <f t="shared" si="36"/>
        <v/>
      </c>
      <c r="AA87" s="18" t="str">
        <f t="shared" si="37"/>
        <v/>
      </c>
      <c r="AB87" s="18" t="str">
        <f t="shared" si="37"/>
        <v/>
      </c>
      <c r="AC87" s="18" t="str">
        <f t="shared" si="37"/>
        <v/>
      </c>
      <c r="AD87" s="18" t="str">
        <f t="shared" si="37"/>
        <v/>
      </c>
      <c r="AE87" s="18" t="str">
        <f t="shared" si="37"/>
        <v/>
      </c>
      <c r="AF87" s="18" t="str">
        <f t="shared" si="37"/>
        <v/>
      </c>
      <c r="AG87" s="18" t="str">
        <f t="shared" si="37"/>
        <v/>
      </c>
      <c r="AH87" s="18" t="str">
        <f t="shared" si="37"/>
        <v/>
      </c>
      <c r="AI87" s="18" t="str">
        <f t="shared" si="37"/>
        <v/>
      </c>
      <c r="AJ87" s="18" t="str">
        <f t="shared" si="37"/>
        <v/>
      </c>
      <c r="AK87" s="19" t="str">
        <f t="shared" si="38"/>
        <v/>
      </c>
      <c r="AL87" s="19" t="str">
        <f t="shared" si="38"/>
        <v/>
      </c>
      <c r="AM87" s="19" t="str">
        <f t="shared" si="38"/>
        <v/>
      </c>
      <c r="AN87" s="19" t="str">
        <f t="shared" si="38"/>
        <v/>
      </c>
      <c r="AO87" s="19" t="str">
        <f t="shared" si="38"/>
        <v/>
      </c>
      <c r="AP87" s="19" t="str">
        <f t="shared" si="38"/>
        <v/>
      </c>
      <c r="AQ87" s="19" t="str">
        <f t="shared" si="38"/>
        <v/>
      </c>
      <c r="AR87" s="19" t="str">
        <f t="shared" si="38"/>
        <v/>
      </c>
      <c r="AS87" s="19" t="str">
        <f t="shared" si="38"/>
        <v/>
      </c>
      <c r="AT87" s="19" t="str">
        <f t="shared" si="38"/>
        <v/>
      </c>
      <c r="AU87" s="19" t="str">
        <f t="shared" si="39"/>
        <v/>
      </c>
      <c r="AV87" s="19" t="str">
        <f t="shared" si="39"/>
        <v/>
      </c>
      <c r="AW87" s="19" t="str">
        <f t="shared" si="39"/>
        <v/>
      </c>
      <c r="AX87" s="19" t="str">
        <f t="shared" si="39"/>
        <v/>
      </c>
      <c r="AY87" s="19" t="str">
        <f t="shared" si="39"/>
        <v/>
      </c>
      <c r="AZ87" s="19" t="str">
        <f t="shared" si="39"/>
        <v/>
      </c>
      <c r="BA87" s="19" t="str">
        <f t="shared" si="39"/>
        <v/>
      </c>
      <c r="BB87" s="19" t="str">
        <f t="shared" si="39"/>
        <v/>
      </c>
      <c r="BC87" s="19" t="str">
        <f t="shared" si="39"/>
        <v/>
      </c>
      <c r="BD87" s="19" t="str">
        <f t="shared" si="39"/>
        <v>■</v>
      </c>
    </row>
  </sheetData>
  <mergeCells count="18">
    <mergeCell ref="F4:F5"/>
    <mergeCell ref="A1:BD2"/>
    <mergeCell ref="A3:BD3"/>
    <mergeCell ref="G4:K4"/>
    <mergeCell ref="L4:P4"/>
    <mergeCell ref="Q4:U4"/>
    <mergeCell ref="V4:Z4"/>
    <mergeCell ref="AA4:AE4"/>
    <mergeCell ref="AF4:AJ4"/>
    <mergeCell ref="AK4:AO4"/>
    <mergeCell ref="AP4:AT4"/>
    <mergeCell ref="AU4:AY4"/>
    <mergeCell ref="AZ4:BD4"/>
    <mergeCell ref="A4:A5"/>
    <mergeCell ref="B4:B5"/>
    <mergeCell ref="C4:C5"/>
    <mergeCell ref="D4:D5"/>
    <mergeCell ref="E4:E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3"/>
  <sheetViews>
    <sheetView showGridLines="0" workbookViewId="0"/>
  </sheetViews>
  <sheetFormatPr defaultRowHeight="13.7"/>
  <cols>
    <col min="1" max="1" width="8" customWidth="1"/>
    <col min="2" max="2" width="15" customWidth="1"/>
    <col min="3" max="3" width="35" customWidth="1"/>
    <col min="4" max="4" width="50" customWidth="1"/>
    <col min="5" max="5" width="20" customWidth="1"/>
    <col min="6" max="6" width="15" customWidth="1"/>
    <col min="7" max="7" width="18" customWidth="1"/>
    <col min="8" max="8" width="13" customWidth="1"/>
    <col min="9" max="9" width="42" customWidth="1"/>
    <col min="10" max="10" width="16" customWidth="1"/>
  </cols>
  <sheetData>
    <row r="1" spans="1:10" ht="24" customHeight="1">
      <c r="A1" s="39" t="s">
        <v>41</v>
      </c>
      <c r="B1" s="39"/>
      <c r="C1" s="39"/>
      <c r="D1" s="39"/>
      <c r="E1" s="39"/>
      <c r="F1" s="39"/>
      <c r="G1" s="39"/>
      <c r="H1" s="39"/>
      <c r="I1" s="39"/>
      <c r="J1" s="39"/>
    </row>
    <row r="2" spans="1:10" ht="24" customHeight="1">
      <c r="A2" s="39"/>
      <c r="B2" s="39"/>
      <c r="C2" s="39"/>
      <c r="D2" s="39"/>
      <c r="E2" s="39"/>
      <c r="F2" s="39"/>
      <c r="G2" s="39"/>
      <c r="H2" s="39"/>
      <c r="I2" s="39"/>
      <c r="J2" s="39"/>
    </row>
    <row r="3" spans="1:10" ht="22" customHeight="1">
      <c r="A3" s="37" t="s">
        <v>557</v>
      </c>
      <c r="B3" s="37"/>
      <c r="C3" s="37"/>
      <c r="D3" s="37"/>
      <c r="E3" s="37"/>
      <c r="F3" s="37"/>
      <c r="G3" s="37"/>
      <c r="H3" s="37"/>
      <c r="I3" s="37"/>
      <c r="J3" s="37"/>
    </row>
    <row r="4" spans="1:10" ht="14.35">
      <c r="A4" s="16"/>
      <c r="B4" s="16"/>
      <c r="C4" s="16"/>
      <c r="D4" s="16"/>
      <c r="E4" s="16"/>
      <c r="F4" s="16"/>
      <c r="G4" s="16"/>
      <c r="H4" s="16"/>
      <c r="I4" s="16"/>
      <c r="J4" s="16"/>
    </row>
    <row r="5" spans="1:10" ht="34" customHeight="1">
      <c r="A5" s="3" t="s">
        <v>42</v>
      </c>
      <c r="B5" s="3" t="s">
        <v>43</v>
      </c>
      <c r="C5" s="3" t="s">
        <v>44</v>
      </c>
      <c r="D5" s="3" t="s">
        <v>45</v>
      </c>
      <c r="E5" s="3" t="s">
        <v>46</v>
      </c>
      <c r="F5" s="3" t="s">
        <v>47</v>
      </c>
      <c r="G5" s="3" t="s">
        <v>48</v>
      </c>
      <c r="H5" s="3" t="s">
        <v>49</v>
      </c>
      <c r="I5" s="3" t="s">
        <v>50</v>
      </c>
      <c r="J5" s="3" t="s">
        <v>39</v>
      </c>
    </row>
    <row r="6" spans="1:10" ht="40" customHeight="1">
      <c r="A6" s="6" t="s">
        <v>558</v>
      </c>
      <c r="B6" s="6" t="s">
        <v>559</v>
      </c>
      <c r="C6" s="6" t="s">
        <v>560</v>
      </c>
      <c r="D6" s="6" t="s">
        <v>561</v>
      </c>
      <c r="E6" s="6" t="s">
        <v>562</v>
      </c>
      <c r="F6" s="6" t="s">
        <v>132</v>
      </c>
      <c r="G6" s="6" t="s">
        <v>132</v>
      </c>
      <c r="H6" s="6" t="s">
        <v>132</v>
      </c>
      <c r="I6" s="6" t="s">
        <v>563</v>
      </c>
      <c r="J6" s="12" t="s">
        <v>138</v>
      </c>
    </row>
    <row r="7" spans="1:10" ht="40" customHeight="1">
      <c r="A7" s="7" t="s">
        <v>564</v>
      </c>
      <c r="B7" s="7" t="s">
        <v>559</v>
      </c>
      <c r="C7" s="7" t="s">
        <v>565</v>
      </c>
      <c r="D7" s="7" t="s">
        <v>566</v>
      </c>
      <c r="E7" s="7" t="s">
        <v>562</v>
      </c>
      <c r="F7" s="7" t="s">
        <v>132</v>
      </c>
      <c r="G7" s="7" t="s">
        <v>132</v>
      </c>
      <c r="H7" s="7" t="s">
        <v>132</v>
      </c>
      <c r="I7" s="7" t="s">
        <v>567</v>
      </c>
      <c r="J7" s="13" t="s">
        <v>138</v>
      </c>
    </row>
    <row r="8" spans="1:10" ht="40" customHeight="1">
      <c r="A8" s="7" t="s">
        <v>568</v>
      </c>
      <c r="B8" s="7" t="s">
        <v>569</v>
      </c>
      <c r="C8" s="7" t="s">
        <v>570</v>
      </c>
      <c r="D8" s="7" t="s">
        <v>571</v>
      </c>
      <c r="E8" s="7" t="s">
        <v>572</v>
      </c>
      <c r="F8" s="7" t="s">
        <v>190</v>
      </c>
      <c r="G8" s="7" t="s">
        <v>210</v>
      </c>
      <c r="H8" s="7" t="s">
        <v>210</v>
      </c>
      <c r="I8" s="7" t="s">
        <v>573</v>
      </c>
      <c r="J8" s="13" t="s">
        <v>138</v>
      </c>
    </row>
    <row r="9" spans="1:10" ht="40" customHeight="1">
      <c r="A9" s="7" t="s">
        <v>574</v>
      </c>
      <c r="B9" s="7" t="s">
        <v>575</v>
      </c>
      <c r="C9" s="7" t="s">
        <v>576</v>
      </c>
      <c r="D9" s="7" t="s">
        <v>577</v>
      </c>
      <c r="E9" s="7" t="s">
        <v>578</v>
      </c>
      <c r="F9" s="7" t="s">
        <v>190</v>
      </c>
      <c r="G9" s="7" t="s">
        <v>579</v>
      </c>
      <c r="H9" s="7" t="s">
        <v>460</v>
      </c>
      <c r="I9" s="7" t="s">
        <v>580</v>
      </c>
      <c r="J9" s="13" t="s">
        <v>138</v>
      </c>
    </row>
    <row r="10" spans="1:10" ht="40" customHeight="1">
      <c r="A10" s="7" t="s">
        <v>581</v>
      </c>
      <c r="B10" s="7" t="s">
        <v>575</v>
      </c>
      <c r="C10" s="7" t="s">
        <v>582</v>
      </c>
      <c r="D10" s="7" t="s">
        <v>583</v>
      </c>
      <c r="E10" s="7" t="s">
        <v>584</v>
      </c>
      <c r="F10" s="7" t="s">
        <v>190</v>
      </c>
      <c r="G10" s="7" t="s">
        <v>585</v>
      </c>
      <c r="H10" s="7" t="s">
        <v>460</v>
      </c>
      <c r="I10" s="7" t="s">
        <v>580</v>
      </c>
      <c r="J10" s="13" t="s">
        <v>138</v>
      </c>
    </row>
    <row r="11" spans="1:10" ht="40" customHeight="1">
      <c r="A11" s="7" t="s">
        <v>586</v>
      </c>
      <c r="B11" s="7" t="s">
        <v>575</v>
      </c>
      <c r="C11" s="7" t="s">
        <v>587</v>
      </c>
      <c r="D11" s="7" t="s">
        <v>588</v>
      </c>
      <c r="E11" s="7" t="s">
        <v>589</v>
      </c>
      <c r="F11" s="7" t="s">
        <v>190</v>
      </c>
      <c r="G11" s="7" t="s">
        <v>590</v>
      </c>
      <c r="H11" s="7" t="s">
        <v>460</v>
      </c>
      <c r="I11" s="7" t="s">
        <v>580</v>
      </c>
      <c r="J11" s="13" t="s">
        <v>138</v>
      </c>
    </row>
    <row r="12" spans="1:10" ht="40" customHeight="1">
      <c r="A12" s="7" t="s">
        <v>591</v>
      </c>
      <c r="B12" s="7" t="s">
        <v>592</v>
      </c>
      <c r="C12" s="7" t="s">
        <v>593</v>
      </c>
      <c r="D12" s="7" t="s">
        <v>594</v>
      </c>
      <c r="E12" s="7" t="s">
        <v>572</v>
      </c>
      <c r="F12" s="7" t="s">
        <v>132</v>
      </c>
      <c r="G12" s="7" t="s">
        <v>595</v>
      </c>
      <c r="H12" s="7" t="s">
        <v>460</v>
      </c>
      <c r="I12" s="7" t="s">
        <v>596</v>
      </c>
      <c r="J12" s="13" t="s">
        <v>138</v>
      </c>
    </row>
    <row r="13" spans="1:10" ht="40" customHeight="1">
      <c r="A13" s="7" t="s">
        <v>597</v>
      </c>
      <c r="B13" s="7" t="s">
        <v>598</v>
      </c>
      <c r="C13" s="7" t="s">
        <v>599</v>
      </c>
      <c r="D13" s="7" t="s">
        <v>600</v>
      </c>
      <c r="E13" s="7" t="s">
        <v>572</v>
      </c>
      <c r="F13" s="7" t="s">
        <v>210</v>
      </c>
      <c r="G13" s="7" t="s">
        <v>601</v>
      </c>
      <c r="H13" s="7" t="s">
        <v>460</v>
      </c>
      <c r="I13" s="7" t="s">
        <v>602</v>
      </c>
      <c r="J13" s="13" t="s">
        <v>138</v>
      </c>
    </row>
    <row r="14" spans="1:10" ht="40" customHeight="1">
      <c r="A14" s="7" t="s">
        <v>603</v>
      </c>
      <c r="B14" s="7" t="s">
        <v>598</v>
      </c>
      <c r="C14" s="7" t="s">
        <v>604</v>
      </c>
      <c r="D14" s="7" t="s">
        <v>605</v>
      </c>
      <c r="E14" s="7" t="s">
        <v>606</v>
      </c>
      <c r="F14" s="7" t="s">
        <v>240</v>
      </c>
      <c r="G14" s="7" t="s">
        <v>607</v>
      </c>
      <c r="H14" s="7" t="s">
        <v>460</v>
      </c>
      <c r="I14" s="7" t="s">
        <v>608</v>
      </c>
      <c r="J14" s="13" t="s">
        <v>138</v>
      </c>
    </row>
    <row r="15" spans="1:10" ht="40" customHeight="1">
      <c r="A15" s="7" t="s">
        <v>609</v>
      </c>
      <c r="B15" s="7" t="s">
        <v>610</v>
      </c>
      <c r="C15" s="7" t="s">
        <v>611</v>
      </c>
      <c r="D15" s="7" t="s">
        <v>612</v>
      </c>
      <c r="E15" s="7" t="s">
        <v>572</v>
      </c>
      <c r="F15" s="7" t="s">
        <v>240</v>
      </c>
      <c r="G15" s="7" t="s">
        <v>613</v>
      </c>
      <c r="H15" s="7" t="s">
        <v>460</v>
      </c>
      <c r="I15" s="7" t="s">
        <v>352</v>
      </c>
      <c r="J15" s="13" t="s">
        <v>138</v>
      </c>
    </row>
    <row r="16" spans="1:10" ht="40" customHeight="1">
      <c r="A16" s="7" t="s">
        <v>614</v>
      </c>
      <c r="B16" s="7" t="s">
        <v>610</v>
      </c>
      <c r="C16" s="7" t="s">
        <v>615</v>
      </c>
      <c r="D16" s="7" t="s">
        <v>616</v>
      </c>
      <c r="E16" s="7" t="s">
        <v>617</v>
      </c>
      <c r="F16" s="7" t="s">
        <v>240</v>
      </c>
      <c r="G16" s="7" t="s">
        <v>613</v>
      </c>
      <c r="H16" s="7" t="s">
        <v>460</v>
      </c>
      <c r="I16" s="7" t="s">
        <v>618</v>
      </c>
      <c r="J16" s="13" t="s">
        <v>138</v>
      </c>
    </row>
    <row r="17" spans="1:10" ht="40" customHeight="1">
      <c r="A17" s="7" t="s">
        <v>619</v>
      </c>
      <c r="B17" s="7" t="s">
        <v>620</v>
      </c>
      <c r="C17" s="7" t="s">
        <v>621</v>
      </c>
      <c r="D17" s="7" t="s">
        <v>622</v>
      </c>
      <c r="E17" s="7" t="s">
        <v>617</v>
      </c>
      <c r="F17" s="7" t="s">
        <v>240</v>
      </c>
      <c r="G17" s="7" t="s">
        <v>623</v>
      </c>
      <c r="H17" s="7" t="s">
        <v>460</v>
      </c>
      <c r="I17" s="7" t="s">
        <v>624</v>
      </c>
      <c r="J17" s="13" t="s">
        <v>138</v>
      </c>
    </row>
    <row r="18" spans="1:10" ht="40" customHeight="1">
      <c r="A18" s="7" t="s">
        <v>625</v>
      </c>
      <c r="B18" s="7" t="s">
        <v>626</v>
      </c>
      <c r="C18" s="7" t="s">
        <v>627</v>
      </c>
      <c r="D18" s="7" t="s">
        <v>628</v>
      </c>
      <c r="E18" s="7" t="s">
        <v>629</v>
      </c>
      <c r="F18" s="7" t="s">
        <v>240</v>
      </c>
      <c r="G18" s="7" t="s">
        <v>630</v>
      </c>
      <c r="H18" s="7" t="s">
        <v>460</v>
      </c>
      <c r="I18" s="7" t="s">
        <v>631</v>
      </c>
      <c r="J18" s="13" t="s">
        <v>138</v>
      </c>
    </row>
    <row r="19" spans="1:10" ht="40" customHeight="1">
      <c r="A19" s="7" t="s">
        <v>632</v>
      </c>
      <c r="B19" s="7" t="s">
        <v>626</v>
      </c>
      <c r="C19" s="7" t="s">
        <v>633</v>
      </c>
      <c r="D19" s="7" t="s">
        <v>634</v>
      </c>
      <c r="E19" s="7" t="s">
        <v>635</v>
      </c>
      <c r="F19" s="7" t="s">
        <v>240</v>
      </c>
      <c r="G19" s="7" t="s">
        <v>636</v>
      </c>
      <c r="H19" s="7" t="s">
        <v>460</v>
      </c>
      <c r="I19" s="7" t="s">
        <v>637</v>
      </c>
      <c r="J19" s="13" t="s">
        <v>138</v>
      </c>
    </row>
    <row r="20" spans="1:10" ht="40" customHeight="1">
      <c r="A20" s="7" t="s">
        <v>638</v>
      </c>
      <c r="B20" s="7" t="s">
        <v>626</v>
      </c>
      <c r="C20" s="7" t="s">
        <v>639</v>
      </c>
      <c r="D20" s="7" t="s">
        <v>640</v>
      </c>
      <c r="E20" s="7" t="s">
        <v>635</v>
      </c>
      <c r="F20" s="7" t="s">
        <v>365</v>
      </c>
      <c r="G20" s="7" t="s">
        <v>623</v>
      </c>
      <c r="H20" s="7" t="s">
        <v>460</v>
      </c>
      <c r="I20" s="7" t="s">
        <v>641</v>
      </c>
      <c r="J20" s="13" t="s">
        <v>138</v>
      </c>
    </row>
    <row r="21" spans="1:10" ht="40" customHeight="1">
      <c r="A21" s="7" t="s">
        <v>642</v>
      </c>
      <c r="B21" s="7" t="s">
        <v>643</v>
      </c>
      <c r="C21" s="7" t="s">
        <v>508</v>
      </c>
      <c r="D21" s="7" t="s">
        <v>644</v>
      </c>
      <c r="E21" s="7" t="s">
        <v>645</v>
      </c>
      <c r="F21" s="7" t="s">
        <v>190</v>
      </c>
      <c r="G21" s="7" t="s">
        <v>646</v>
      </c>
      <c r="H21" s="7" t="s">
        <v>460</v>
      </c>
      <c r="I21" s="7" t="s">
        <v>647</v>
      </c>
      <c r="J21" s="13" t="s">
        <v>138</v>
      </c>
    </row>
    <row r="22" spans="1:10" ht="40" customHeight="1">
      <c r="A22" s="7" t="s">
        <v>648</v>
      </c>
      <c r="B22" s="7" t="s">
        <v>569</v>
      </c>
      <c r="C22" s="7" t="s">
        <v>649</v>
      </c>
      <c r="D22" s="7" t="s">
        <v>650</v>
      </c>
      <c r="E22" s="7" t="s">
        <v>651</v>
      </c>
      <c r="F22" s="7" t="s">
        <v>428</v>
      </c>
      <c r="G22" s="7" t="s">
        <v>460</v>
      </c>
      <c r="H22" s="7" t="s">
        <v>460</v>
      </c>
      <c r="I22" s="7" t="s">
        <v>652</v>
      </c>
      <c r="J22" s="13" t="s">
        <v>138</v>
      </c>
    </row>
    <row r="23" spans="1:10" ht="40" customHeight="1">
      <c r="A23" s="7" t="s">
        <v>653</v>
      </c>
      <c r="B23" s="7" t="s">
        <v>654</v>
      </c>
      <c r="C23" s="7" t="s">
        <v>655</v>
      </c>
      <c r="D23" s="7" t="s">
        <v>656</v>
      </c>
      <c r="E23" s="7" t="s">
        <v>572</v>
      </c>
      <c r="F23" s="7" t="s">
        <v>460</v>
      </c>
      <c r="G23" s="7" t="s">
        <v>460</v>
      </c>
      <c r="H23" s="7" t="s">
        <v>460</v>
      </c>
      <c r="I23" s="7" t="s">
        <v>657</v>
      </c>
      <c r="J23" s="13" t="s">
        <v>138</v>
      </c>
    </row>
  </sheetData>
  <mergeCells count="2">
    <mergeCell ref="A1:J2"/>
    <mergeCell ref="A3:J3"/>
  </mergeCells>
  <dataValidations count="1">
    <dataValidation type="list" sqref="J6:J23" xr:uid="{00000000-0002-0000-0300-000000000000}">
      <formula1>"Chưa bắt đầu,Đang thực hiện,Hoàn thành,BLOCK,N/A"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6"/>
  <sheetViews>
    <sheetView showGridLines="0" workbookViewId="0"/>
  </sheetViews>
  <sheetFormatPr defaultRowHeight="13.7"/>
  <cols>
    <col min="1" max="1" width="8" customWidth="1"/>
    <col min="2" max="2" width="14" customWidth="1"/>
    <col min="3" max="3" width="38" customWidth="1"/>
    <col min="4" max="4" width="18" customWidth="1"/>
    <col min="5" max="5" width="23" customWidth="1"/>
    <col min="6" max="6" width="55" customWidth="1"/>
    <col min="7" max="7" width="12" customWidth="1"/>
    <col min="8" max="8" width="15" customWidth="1"/>
    <col min="9" max="10" width="16" customWidth="1"/>
  </cols>
  <sheetData>
    <row r="1" spans="1:10" ht="24" customHeight="1">
      <c r="A1" s="39" t="s">
        <v>51</v>
      </c>
      <c r="B1" s="39"/>
      <c r="C1" s="39"/>
      <c r="D1" s="39"/>
      <c r="E1" s="39"/>
      <c r="F1" s="39"/>
      <c r="G1" s="39"/>
      <c r="H1" s="39"/>
      <c r="I1" s="39"/>
      <c r="J1" s="39"/>
    </row>
    <row r="2" spans="1:10" ht="24" customHeight="1">
      <c r="A2" s="39"/>
      <c r="B2" s="39"/>
      <c r="C2" s="39"/>
      <c r="D2" s="39"/>
      <c r="E2" s="39"/>
      <c r="F2" s="39"/>
      <c r="G2" s="39"/>
      <c r="H2" s="39"/>
      <c r="I2" s="39"/>
      <c r="J2" s="39"/>
    </row>
    <row r="3" spans="1:10" ht="22" customHeight="1">
      <c r="A3" s="37" t="s">
        <v>658</v>
      </c>
      <c r="B3" s="37"/>
      <c r="C3" s="37"/>
      <c r="D3" s="37"/>
      <c r="E3" s="37"/>
      <c r="F3" s="37"/>
      <c r="G3" s="37"/>
      <c r="H3" s="37"/>
      <c r="I3" s="37"/>
      <c r="J3" s="37"/>
    </row>
    <row r="4" spans="1:10" ht="14.35">
      <c r="A4" s="16"/>
      <c r="B4" s="16"/>
      <c r="C4" s="16"/>
      <c r="D4" s="16"/>
      <c r="E4" s="16"/>
      <c r="F4" s="16"/>
      <c r="G4" s="16"/>
      <c r="H4" s="16"/>
      <c r="I4" s="16"/>
      <c r="J4" s="16"/>
    </row>
    <row r="5" spans="1:10" ht="34" customHeight="1">
      <c r="A5" s="3" t="s">
        <v>42</v>
      </c>
      <c r="B5" s="3" t="s">
        <v>43</v>
      </c>
      <c r="C5" s="3" t="s">
        <v>52</v>
      </c>
      <c r="D5" s="3" t="s">
        <v>16</v>
      </c>
      <c r="E5" s="3" t="s">
        <v>53</v>
      </c>
      <c r="F5" s="3" t="s">
        <v>54</v>
      </c>
      <c r="G5" s="3" t="s">
        <v>55</v>
      </c>
      <c r="H5" s="3" t="s">
        <v>56</v>
      </c>
      <c r="I5" s="3" t="s">
        <v>57</v>
      </c>
      <c r="J5" s="3" t="s">
        <v>39</v>
      </c>
    </row>
    <row r="6" spans="1:10" ht="42" customHeight="1">
      <c r="A6" s="6" t="s">
        <v>659</v>
      </c>
      <c r="B6" s="6" t="s">
        <v>660</v>
      </c>
      <c r="C6" s="6" t="s">
        <v>560</v>
      </c>
      <c r="D6" s="6" t="s">
        <v>562</v>
      </c>
      <c r="E6" s="6" t="s">
        <v>661</v>
      </c>
      <c r="F6" s="6" t="s">
        <v>662</v>
      </c>
      <c r="G6" s="6" t="s">
        <v>132</v>
      </c>
      <c r="H6" s="6" t="s">
        <v>132</v>
      </c>
      <c r="I6" s="6" t="s">
        <v>102</v>
      </c>
      <c r="J6" s="12" t="s">
        <v>138</v>
      </c>
    </row>
    <row r="7" spans="1:10" ht="42" customHeight="1">
      <c r="A7" s="7" t="s">
        <v>663</v>
      </c>
      <c r="B7" s="7" t="s">
        <v>664</v>
      </c>
      <c r="C7" s="7" t="s">
        <v>665</v>
      </c>
      <c r="D7" s="7" t="s">
        <v>666</v>
      </c>
      <c r="E7" s="7" t="s">
        <v>667</v>
      </c>
      <c r="F7" s="7" t="s">
        <v>668</v>
      </c>
      <c r="G7" s="7" t="s">
        <v>240</v>
      </c>
      <c r="H7" s="7" t="s">
        <v>460</v>
      </c>
      <c r="I7" s="7" t="s">
        <v>669</v>
      </c>
      <c r="J7" s="13" t="s">
        <v>138</v>
      </c>
    </row>
    <row r="8" spans="1:10" ht="42" customHeight="1">
      <c r="A8" s="7" t="s">
        <v>670</v>
      </c>
      <c r="B8" s="7" t="s">
        <v>664</v>
      </c>
      <c r="C8" s="7" t="s">
        <v>671</v>
      </c>
      <c r="D8" s="7" t="s">
        <v>578</v>
      </c>
      <c r="E8" s="7" t="s">
        <v>672</v>
      </c>
      <c r="F8" s="7" t="s">
        <v>673</v>
      </c>
      <c r="G8" s="7" t="s">
        <v>240</v>
      </c>
      <c r="H8" s="7" t="s">
        <v>674</v>
      </c>
      <c r="I8" s="7" t="s">
        <v>370</v>
      </c>
      <c r="J8" s="13" t="s">
        <v>138</v>
      </c>
    </row>
    <row r="9" spans="1:10" ht="42" customHeight="1">
      <c r="A9" s="7" t="s">
        <v>675</v>
      </c>
      <c r="B9" s="7" t="s">
        <v>664</v>
      </c>
      <c r="C9" s="7" t="s">
        <v>676</v>
      </c>
      <c r="D9" s="7" t="s">
        <v>584</v>
      </c>
      <c r="E9" s="7" t="s">
        <v>677</v>
      </c>
      <c r="F9" s="7" t="s">
        <v>678</v>
      </c>
      <c r="G9" s="7" t="s">
        <v>240</v>
      </c>
      <c r="H9" s="7" t="s">
        <v>679</v>
      </c>
      <c r="I9" s="7" t="s">
        <v>401</v>
      </c>
      <c r="J9" s="13" t="s">
        <v>138</v>
      </c>
    </row>
    <row r="10" spans="1:10" ht="42" customHeight="1">
      <c r="A10" s="7" t="s">
        <v>680</v>
      </c>
      <c r="B10" s="7" t="s">
        <v>664</v>
      </c>
      <c r="C10" s="7" t="s">
        <v>681</v>
      </c>
      <c r="D10" s="7" t="s">
        <v>589</v>
      </c>
      <c r="E10" s="7" t="s">
        <v>682</v>
      </c>
      <c r="F10" s="7" t="s">
        <v>683</v>
      </c>
      <c r="G10" s="7" t="s">
        <v>240</v>
      </c>
      <c r="H10" s="7" t="s">
        <v>684</v>
      </c>
      <c r="I10" s="7" t="s">
        <v>432</v>
      </c>
      <c r="J10" s="13" t="s">
        <v>138</v>
      </c>
    </row>
    <row r="11" spans="1:10" ht="42" customHeight="1">
      <c r="A11" s="7" t="s">
        <v>685</v>
      </c>
      <c r="B11" s="7" t="s">
        <v>686</v>
      </c>
      <c r="C11" s="7" t="s">
        <v>687</v>
      </c>
      <c r="D11" s="7" t="s">
        <v>666</v>
      </c>
      <c r="E11" s="7" t="s">
        <v>688</v>
      </c>
      <c r="F11" s="7" t="s">
        <v>689</v>
      </c>
      <c r="G11" s="7" t="s">
        <v>240</v>
      </c>
      <c r="H11" s="7" t="s">
        <v>460</v>
      </c>
      <c r="I11" s="7" t="s">
        <v>690</v>
      </c>
      <c r="J11" s="13" t="s">
        <v>138</v>
      </c>
    </row>
    <row r="12" spans="1:10" ht="42" customHeight="1">
      <c r="A12" s="7" t="s">
        <v>691</v>
      </c>
      <c r="B12" s="7" t="s">
        <v>686</v>
      </c>
      <c r="C12" s="7" t="s">
        <v>692</v>
      </c>
      <c r="D12" s="7" t="s">
        <v>578</v>
      </c>
      <c r="E12" s="7" t="s">
        <v>693</v>
      </c>
      <c r="F12" s="7" t="s">
        <v>694</v>
      </c>
      <c r="G12" s="7" t="s">
        <v>240</v>
      </c>
      <c r="H12" s="7" t="s">
        <v>674</v>
      </c>
      <c r="I12" s="7" t="s">
        <v>390</v>
      </c>
      <c r="J12" s="13" t="s">
        <v>138</v>
      </c>
    </row>
    <row r="13" spans="1:10" ht="42" customHeight="1">
      <c r="A13" s="7" t="s">
        <v>695</v>
      </c>
      <c r="B13" s="7" t="s">
        <v>686</v>
      </c>
      <c r="C13" s="7" t="s">
        <v>696</v>
      </c>
      <c r="D13" s="7" t="s">
        <v>584</v>
      </c>
      <c r="E13" s="7" t="s">
        <v>697</v>
      </c>
      <c r="F13" s="7" t="s">
        <v>698</v>
      </c>
      <c r="G13" s="7" t="s">
        <v>240</v>
      </c>
      <c r="H13" s="7" t="s">
        <v>679</v>
      </c>
      <c r="I13" s="7" t="s">
        <v>421</v>
      </c>
      <c r="J13" s="13" t="s">
        <v>138</v>
      </c>
    </row>
    <row r="14" spans="1:10" ht="42" customHeight="1">
      <c r="A14" s="7" t="s">
        <v>699</v>
      </c>
      <c r="B14" s="7" t="s">
        <v>686</v>
      </c>
      <c r="C14" s="7" t="s">
        <v>700</v>
      </c>
      <c r="D14" s="7" t="s">
        <v>589</v>
      </c>
      <c r="E14" s="7" t="s">
        <v>701</v>
      </c>
      <c r="F14" s="7" t="s">
        <v>702</v>
      </c>
      <c r="G14" s="7" t="s">
        <v>240</v>
      </c>
      <c r="H14" s="7" t="s">
        <v>684</v>
      </c>
      <c r="I14" s="7" t="s">
        <v>457</v>
      </c>
      <c r="J14" s="13" t="s">
        <v>138</v>
      </c>
    </row>
    <row r="15" spans="1:10" ht="42" customHeight="1">
      <c r="A15" s="7" t="s">
        <v>703</v>
      </c>
      <c r="B15" s="7" t="s">
        <v>704</v>
      </c>
      <c r="C15" s="7" t="s">
        <v>705</v>
      </c>
      <c r="D15" s="7" t="s">
        <v>617</v>
      </c>
      <c r="E15" s="7" t="s">
        <v>706</v>
      </c>
      <c r="F15" s="7" t="s">
        <v>707</v>
      </c>
      <c r="G15" s="7" t="s">
        <v>240</v>
      </c>
      <c r="H15" s="7" t="s">
        <v>607</v>
      </c>
      <c r="I15" s="7" t="s">
        <v>708</v>
      </c>
      <c r="J15" s="13" t="s">
        <v>138</v>
      </c>
    </row>
    <row r="16" spans="1:10" ht="42" customHeight="1">
      <c r="A16" s="7" t="s">
        <v>709</v>
      </c>
      <c r="B16" s="7" t="s">
        <v>704</v>
      </c>
      <c r="C16" s="7" t="s">
        <v>710</v>
      </c>
      <c r="D16" s="7" t="s">
        <v>617</v>
      </c>
      <c r="E16" s="7" t="s">
        <v>711</v>
      </c>
      <c r="F16" s="7" t="s">
        <v>712</v>
      </c>
      <c r="G16" s="7" t="s">
        <v>240</v>
      </c>
      <c r="H16" s="7" t="s">
        <v>607</v>
      </c>
      <c r="I16" s="7" t="s">
        <v>708</v>
      </c>
      <c r="J16" s="13" t="s">
        <v>138</v>
      </c>
    </row>
    <row r="17" spans="1:10" ht="42" customHeight="1">
      <c r="A17" s="7" t="s">
        <v>713</v>
      </c>
      <c r="B17" s="7" t="s">
        <v>30</v>
      </c>
      <c r="C17" s="7" t="s">
        <v>714</v>
      </c>
      <c r="D17" s="7" t="s">
        <v>578</v>
      </c>
      <c r="E17" s="7" t="s">
        <v>674</v>
      </c>
      <c r="F17" s="7" t="s">
        <v>715</v>
      </c>
      <c r="G17" s="7" t="s">
        <v>240</v>
      </c>
      <c r="H17" s="7" t="s">
        <v>674</v>
      </c>
      <c r="I17" s="7" t="s">
        <v>390</v>
      </c>
      <c r="J17" s="13" t="s">
        <v>138</v>
      </c>
    </row>
    <row r="18" spans="1:10" ht="42" customHeight="1">
      <c r="A18" s="7" t="s">
        <v>716</v>
      </c>
      <c r="B18" s="7" t="s">
        <v>30</v>
      </c>
      <c r="C18" s="7" t="s">
        <v>717</v>
      </c>
      <c r="D18" s="7" t="s">
        <v>584</v>
      </c>
      <c r="E18" s="7" t="s">
        <v>679</v>
      </c>
      <c r="F18" s="7" t="s">
        <v>718</v>
      </c>
      <c r="G18" s="7" t="s">
        <v>240</v>
      </c>
      <c r="H18" s="7" t="s">
        <v>679</v>
      </c>
      <c r="I18" s="7" t="s">
        <v>421</v>
      </c>
      <c r="J18" s="13" t="s">
        <v>138</v>
      </c>
    </row>
    <row r="19" spans="1:10" ht="42" customHeight="1">
      <c r="A19" s="7" t="s">
        <v>719</v>
      </c>
      <c r="B19" s="7" t="s">
        <v>30</v>
      </c>
      <c r="C19" s="7" t="s">
        <v>720</v>
      </c>
      <c r="D19" s="7" t="s">
        <v>589</v>
      </c>
      <c r="E19" s="7" t="s">
        <v>684</v>
      </c>
      <c r="F19" s="7" t="s">
        <v>721</v>
      </c>
      <c r="G19" s="7" t="s">
        <v>240</v>
      </c>
      <c r="H19" s="7" t="s">
        <v>684</v>
      </c>
      <c r="I19" s="7" t="s">
        <v>457</v>
      </c>
      <c r="J19" s="13" t="s">
        <v>138</v>
      </c>
    </row>
    <row r="20" spans="1:10" ht="42" customHeight="1">
      <c r="A20" s="7" t="s">
        <v>722</v>
      </c>
      <c r="B20" s="7" t="s">
        <v>610</v>
      </c>
      <c r="C20" s="7" t="s">
        <v>723</v>
      </c>
      <c r="D20" s="7" t="s">
        <v>617</v>
      </c>
      <c r="E20" s="7" t="s">
        <v>724</v>
      </c>
      <c r="F20" s="7" t="s">
        <v>725</v>
      </c>
      <c r="G20" s="7" t="s">
        <v>240</v>
      </c>
      <c r="H20" s="7" t="s">
        <v>607</v>
      </c>
      <c r="I20" s="7" t="s">
        <v>726</v>
      </c>
      <c r="J20" s="13" t="s">
        <v>138</v>
      </c>
    </row>
    <row r="21" spans="1:10" ht="42" customHeight="1">
      <c r="A21" s="7" t="s">
        <v>727</v>
      </c>
      <c r="B21" s="7" t="s">
        <v>610</v>
      </c>
      <c r="C21" s="7" t="s">
        <v>728</v>
      </c>
      <c r="D21" s="7" t="s">
        <v>729</v>
      </c>
      <c r="E21" s="7" t="s">
        <v>730</v>
      </c>
      <c r="F21" s="7" t="s">
        <v>731</v>
      </c>
      <c r="G21" s="7" t="s">
        <v>240</v>
      </c>
      <c r="H21" s="7" t="s">
        <v>460</v>
      </c>
      <c r="I21" s="7" t="s">
        <v>732</v>
      </c>
      <c r="J21" s="13" t="s">
        <v>138</v>
      </c>
    </row>
    <row r="22" spans="1:10" ht="42" customHeight="1">
      <c r="A22" s="7" t="s">
        <v>733</v>
      </c>
      <c r="B22" s="7" t="s">
        <v>620</v>
      </c>
      <c r="C22" s="7" t="s">
        <v>301</v>
      </c>
      <c r="D22" s="7" t="s">
        <v>617</v>
      </c>
      <c r="E22" s="7" t="s">
        <v>734</v>
      </c>
      <c r="F22" s="7" t="s">
        <v>735</v>
      </c>
      <c r="G22" s="7" t="s">
        <v>240</v>
      </c>
      <c r="H22" s="7" t="s">
        <v>736</v>
      </c>
      <c r="I22" s="7" t="s">
        <v>737</v>
      </c>
      <c r="J22" s="13" t="s">
        <v>138</v>
      </c>
    </row>
    <row r="23" spans="1:10" ht="42" customHeight="1">
      <c r="A23" s="7" t="s">
        <v>738</v>
      </c>
      <c r="B23" s="7" t="s">
        <v>620</v>
      </c>
      <c r="C23" s="7" t="s">
        <v>739</v>
      </c>
      <c r="D23" s="7" t="s">
        <v>617</v>
      </c>
      <c r="E23" s="7" t="s">
        <v>740</v>
      </c>
      <c r="F23" s="7" t="s">
        <v>741</v>
      </c>
      <c r="G23" s="7" t="s">
        <v>240</v>
      </c>
      <c r="H23" s="7" t="s">
        <v>736</v>
      </c>
      <c r="I23" s="7" t="s">
        <v>742</v>
      </c>
      <c r="J23" s="13" t="s">
        <v>138</v>
      </c>
    </row>
    <row r="24" spans="1:10" ht="42" customHeight="1">
      <c r="A24" s="7" t="s">
        <v>743</v>
      </c>
      <c r="B24" s="7" t="s">
        <v>626</v>
      </c>
      <c r="C24" s="7" t="s">
        <v>744</v>
      </c>
      <c r="D24" s="7" t="s">
        <v>745</v>
      </c>
      <c r="E24" s="7" t="s">
        <v>460</v>
      </c>
      <c r="F24" s="7" t="s">
        <v>746</v>
      </c>
      <c r="G24" s="7" t="s">
        <v>240</v>
      </c>
      <c r="H24" s="7" t="s">
        <v>460</v>
      </c>
      <c r="I24" s="7" t="s">
        <v>497</v>
      </c>
      <c r="J24" s="13" t="s">
        <v>138</v>
      </c>
    </row>
    <row r="25" spans="1:10" ht="42" customHeight="1">
      <c r="A25" s="7" t="s">
        <v>747</v>
      </c>
      <c r="B25" s="7" t="s">
        <v>30</v>
      </c>
      <c r="C25" s="7" t="s">
        <v>748</v>
      </c>
      <c r="D25" s="7" t="s">
        <v>749</v>
      </c>
      <c r="E25" s="7" t="s">
        <v>750</v>
      </c>
      <c r="F25" s="7" t="s">
        <v>751</v>
      </c>
      <c r="G25" s="7" t="s">
        <v>240</v>
      </c>
      <c r="H25" s="7" t="s">
        <v>460</v>
      </c>
      <c r="I25" s="7" t="s">
        <v>752</v>
      </c>
      <c r="J25" s="13" t="s">
        <v>138</v>
      </c>
    </row>
    <row r="26" spans="1:10" ht="42" customHeight="1">
      <c r="A26" s="7" t="s">
        <v>753</v>
      </c>
      <c r="B26" s="7" t="s">
        <v>754</v>
      </c>
      <c r="C26" s="7" t="s">
        <v>755</v>
      </c>
      <c r="D26" s="7" t="s">
        <v>572</v>
      </c>
      <c r="E26" s="7" t="s">
        <v>460</v>
      </c>
      <c r="F26" s="7" t="s">
        <v>756</v>
      </c>
      <c r="G26" s="7" t="s">
        <v>460</v>
      </c>
      <c r="H26" s="7" t="s">
        <v>460</v>
      </c>
      <c r="I26" s="7" t="s">
        <v>544</v>
      </c>
      <c r="J26" s="13" t="s">
        <v>138</v>
      </c>
    </row>
  </sheetData>
  <mergeCells count="2">
    <mergeCell ref="A1:J2"/>
    <mergeCell ref="A3:J3"/>
  </mergeCells>
  <dataValidations count="1">
    <dataValidation type="list" sqref="J6:J26" xr:uid="{00000000-0002-0000-0400-000000000000}">
      <formula1>"Chưa bắt đầu,Đang thực hiện,Hoàn thành,BLOCK,N/A"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2"/>
  <sheetViews>
    <sheetView showGridLines="0" workbookViewId="0"/>
  </sheetViews>
  <sheetFormatPr defaultRowHeight="13.7"/>
  <cols>
    <col min="1" max="1" width="10" customWidth="1"/>
    <col min="2" max="2" width="18" customWidth="1"/>
    <col min="3" max="3" width="15" customWidth="1"/>
    <col min="4" max="4" width="38" customWidth="1"/>
    <col min="5" max="5" width="28" customWidth="1"/>
    <col min="6" max="7" width="45" customWidth="1"/>
    <col min="8" max="8" width="13" customWidth="1"/>
    <col min="9" max="9" width="14" customWidth="1"/>
    <col min="10" max="10" width="30" customWidth="1"/>
    <col min="11" max="11" width="16" customWidth="1"/>
  </cols>
  <sheetData>
    <row r="1" spans="1:11" ht="24" customHeight="1">
      <c r="A1" s="39" t="s">
        <v>58</v>
      </c>
      <c r="B1" s="39"/>
      <c r="C1" s="39"/>
      <c r="D1" s="39"/>
      <c r="E1" s="39"/>
      <c r="F1" s="39"/>
      <c r="G1" s="39"/>
      <c r="H1" s="39"/>
      <c r="I1" s="39"/>
      <c r="J1" s="39"/>
      <c r="K1" s="39"/>
    </row>
    <row r="2" spans="1:11" ht="24" customHeight="1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</row>
    <row r="3" spans="1:11" ht="22" customHeight="1">
      <c r="A3" s="37" t="s">
        <v>757</v>
      </c>
      <c r="B3" s="37"/>
      <c r="C3" s="37"/>
      <c r="D3" s="37"/>
      <c r="E3" s="37"/>
      <c r="F3" s="37"/>
      <c r="G3" s="37"/>
      <c r="H3" s="37"/>
      <c r="I3" s="37"/>
      <c r="J3" s="37"/>
      <c r="K3" s="37"/>
    </row>
    <row r="4" spans="1:11" ht="14.3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</row>
    <row r="5" spans="1:11" ht="34" customHeight="1">
      <c r="A5" s="3" t="s">
        <v>59</v>
      </c>
      <c r="B5" s="3" t="s">
        <v>60</v>
      </c>
      <c r="C5" s="3" t="s">
        <v>61</v>
      </c>
      <c r="D5" s="3" t="s">
        <v>62</v>
      </c>
      <c r="E5" s="3" t="s">
        <v>63</v>
      </c>
      <c r="F5" s="3" t="s">
        <v>64</v>
      </c>
      <c r="G5" s="3" t="s">
        <v>65</v>
      </c>
      <c r="H5" s="3" t="s">
        <v>30</v>
      </c>
      <c r="I5" s="3" t="s">
        <v>10</v>
      </c>
      <c r="J5" s="3" t="s">
        <v>66</v>
      </c>
      <c r="K5" s="3" t="s">
        <v>39</v>
      </c>
    </row>
    <row r="6" spans="1:11" ht="44" customHeight="1">
      <c r="A6" s="6" t="s">
        <v>758</v>
      </c>
      <c r="B6" s="6" t="s">
        <v>759</v>
      </c>
      <c r="C6" s="6" t="s">
        <v>760</v>
      </c>
      <c r="D6" s="6" t="s">
        <v>761</v>
      </c>
      <c r="E6" s="6" t="s">
        <v>762</v>
      </c>
      <c r="F6" s="6" t="s">
        <v>763</v>
      </c>
      <c r="G6" s="6" t="s">
        <v>764</v>
      </c>
      <c r="H6" s="6" t="s">
        <v>117</v>
      </c>
      <c r="I6" s="6" t="s">
        <v>765</v>
      </c>
      <c r="J6" s="12"/>
      <c r="K6" s="12" t="s">
        <v>138</v>
      </c>
    </row>
    <row r="7" spans="1:11" ht="44" customHeight="1">
      <c r="A7" s="7" t="s">
        <v>766</v>
      </c>
      <c r="B7" s="7" t="s">
        <v>759</v>
      </c>
      <c r="C7" s="7" t="s">
        <v>767</v>
      </c>
      <c r="D7" s="7" t="s">
        <v>768</v>
      </c>
      <c r="E7" s="7" t="s">
        <v>769</v>
      </c>
      <c r="F7" s="7" t="s">
        <v>770</v>
      </c>
      <c r="G7" s="7" t="s">
        <v>771</v>
      </c>
      <c r="H7" s="7" t="s">
        <v>117</v>
      </c>
      <c r="I7" s="7" t="s">
        <v>765</v>
      </c>
      <c r="J7" s="13"/>
      <c r="K7" s="13" t="s">
        <v>138</v>
      </c>
    </row>
    <row r="8" spans="1:11" ht="44" customHeight="1">
      <c r="A8" s="7" t="s">
        <v>772</v>
      </c>
      <c r="B8" s="7" t="s">
        <v>773</v>
      </c>
      <c r="C8" s="7" t="s">
        <v>774</v>
      </c>
      <c r="D8" s="7" t="s">
        <v>775</v>
      </c>
      <c r="E8" s="7" t="s">
        <v>776</v>
      </c>
      <c r="F8" s="7" t="s">
        <v>777</v>
      </c>
      <c r="G8" s="7" t="s">
        <v>778</v>
      </c>
      <c r="H8" s="7" t="s">
        <v>117</v>
      </c>
      <c r="I8" s="7" t="s">
        <v>779</v>
      </c>
      <c r="J8" s="13"/>
      <c r="K8" s="13" t="s">
        <v>138</v>
      </c>
    </row>
    <row r="9" spans="1:11" ht="44" customHeight="1">
      <c r="A9" s="7" t="s">
        <v>780</v>
      </c>
      <c r="B9" s="7" t="s">
        <v>773</v>
      </c>
      <c r="C9" s="7" t="s">
        <v>781</v>
      </c>
      <c r="D9" s="7" t="s">
        <v>782</v>
      </c>
      <c r="E9" s="7" t="s">
        <v>783</v>
      </c>
      <c r="F9" s="7" t="s">
        <v>784</v>
      </c>
      <c r="G9" s="7" t="s">
        <v>785</v>
      </c>
      <c r="H9" s="7" t="s">
        <v>117</v>
      </c>
      <c r="I9" s="7" t="s">
        <v>786</v>
      </c>
      <c r="J9" s="13"/>
      <c r="K9" s="13" t="s">
        <v>138</v>
      </c>
    </row>
    <row r="10" spans="1:11" ht="44" customHeight="1">
      <c r="A10" s="7" t="s">
        <v>787</v>
      </c>
      <c r="B10" s="7" t="s">
        <v>773</v>
      </c>
      <c r="C10" s="7" t="s">
        <v>774</v>
      </c>
      <c r="D10" s="7" t="s">
        <v>788</v>
      </c>
      <c r="E10" s="7" t="s">
        <v>789</v>
      </c>
      <c r="F10" s="7" t="s">
        <v>790</v>
      </c>
      <c r="G10" s="7" t="s">
        <v>791</v>
      </c>
      <c r="H10" s="7" t="s">
        <v>117</v>
      </c>
      <c r="I10" s="7" t="s">
        <v>779</v>
      </c>
      <c r="J10" s="13"/>
      <c r="K10" s="13" t="s">
        <v>138</v>
      </c>
    </row>
    <row r="11" spans="1:11" ht="44" customHeight="1">
      <c r="A11" s="7" t="s">
        <v>792</v>
      </c>
      <c r="B11" s="7" t="s">
        <v>773</v>
      </c>
      <c r="C11" s="7" t="s">
        <v>774</v>
      </c>
      <c r="D11" s="7" t="s">
        <v>793</v>
      </c>
      <c r="E11" s="7" t="s">
        <v>794</v>
      </c>
      <c r="F11" s="7" t="s">
        <v>795</v>
      </c>
      <c r="G11" s="7" t="s">
        <v>791</v>
      </c>
      <c r="H11" s="7" t="s">
        <v>117</v>
      </c>
      <c r="I11" s="7" t="s">
        <v>786</v>
      </c>
      <c r="J11" s="13"/>
      <c r="K11" s="13" t="s">
        <v>138</v>
      </c>
    </row>
    <row r="12" spans="1:11" ht="44" customHeight="1">
      <c r="A12" s="7" t="s">
        <v>796</v>
      </c>
      <c r="B12" s="7" t="s">
        <v>773</v>
      </c>
      <c r="C12" s="7" t="s">
        <v>774</v>
      </c>
      <c r="D12" s="7" t="s">
        <v>797</v>
      </c>
      <c r="E12" s="7" t="s">
        <v>798</v>
      </c>
      <c r="F12" s="7" t="s">
        <v>799</v>
      </c>
      <c r="G12" s="7" t="s">
        <v>800</v>
      </c>
      <c r="H12" s="7" t="s">
        <v>117</v>
      </c>
      <c r="I12" s="7" t="s">
        <v>779</v>
      </c>
      <c r="J12" s="13"/>
      <c r="K12" s="13" t="s">
        <v>138</v>
      </c>
    </row>
    <row r="13" spans="1:11" ht="44" customHeight="1">
      <c r="A13" s="7" t="s">
        <v>801</v>
      </c>
      <c r="B13" s="7" t="s">
        <v>578</v>
      </c>
      <c r="C13" s="7" t="s">
        <v>802</v>
      </c>
      <c r="D13" s="7" t="s">
        <v>803</v>
      </c>
      <c r="E13" s="7" t="s">
        <v>804</v>
      </c>
      <c r="F13" s="7" t="s">
        <v>805</v>
      </c>
      <c r="G13" s="7" t="s">
        <v>806</v>
      </c>
      <c r="H13" s="7" t="s">
        <v>390</v>
      </c>
      <c r="I13" s="7" t="s">
        <v>807</v>
      </c>
      <c r="J13" s="13"/>
      <c r="K13" s="13" t="s">
        <v>138</v>
      </c>
    </row>
    <row r="14" spans="1:11" ht="44" customHeight="1">
      <c r="A14" s="7" t="s">
        <v>808</v>
      </c>
      <c r="B14" s="7" t="s">
        <v>578</v>
      </c>
      <c r="C14" s="7" t="s">
        <v>809</v>
      </c>
      <c r="D14" s="7" t="s">
        <v>810</v>
      </c>
      <c r="E14" s="7" t="s">
        <v>811</v>
      </c>
      <c r="F14" s="7" t="s">
        <v>812</v>
      </c>
      <c r="G14" s="7" t="s">
        <v>813</v>
      </c>
      <c r="H14" s="7" t="s">
        <v>390</v>
      </c>
      <c r="I14" s="7" t="s">
        <v>688</v>
      </c>
      <c r="J14" s="13"/>
      <c r="K14" s="13" t="s">
        <v>138</v>
      </c>
    </row>
    <row r="15" spans="1:11" ht="44" customHeight="1">
      <c r="A15" s="7" t="s">
        <v>814</v>
      </c>
      <c r="B15" s="7" t="s">
        <v>578</v>
      </c>
      <c r="C15" s="7" t="s">
        <v>815</v>
      </c>
      <c r="D15" s="7" t="s">
        <v>816</v>
      </c>
      <c r="E15" s="7" t="s">
        <v>769</v>
      </c>
      <c r="F15" s="7" t="s">
        <v>817</v>
      </c>
      <c r="G15" s="7" t="s">
        <v>818</v>
      </c>
      <c r="H15" s="7" t="s">
        <v>390</v>
      </c>
      <c r="I15" s="7" t="s">
        <v>819</v>
      </c>
      <c r="J15" s="13"/>
      <c r="K15" s="13" t="s">
        <v>138</v>
      </c>
    </row>
    <row r="16" spans="1:11" ht="44" customHeight="1">
      <c r="A16" s="7" t="s">
        <v>820</v>
      </c>
      <c r="B16" s="7" t="s">
        <v>578</v>
      </c>
      <c r="C16" s="7" t="s">
        <v>821</v>
      </c>
      <c r="D16" s="7" t="s">
        <v>822</v>
      </c>
      <c r="E16" s="7" t="s">
        <v>823</v>
      </c>
      <c r="F16" s="7" t="s">
        <v>824</v>
      </c>
      <c r="G16" s="7" t="s">
        <v>825</v>
      </c>
      <c r="H16" s="7" t="s">
        <v>390</v>
      </c>
      <c r="I16" s="7" t="s">
        <v>826</v>
      </c>
      <c r="J16" s="13"/>
      <c r="K16" s="13" t="s">
        <v>138</v>
      </c>
    </row>
    <row r="17" spans="1:11" ht="44" customHeight="1">
      <c r="A17" s="7" t="s">
        <v>827</v>
      </c>
      <c r="B17" s="7" t="s">
        <v>584</v>
      </c>
      <c r="C17" s="7" t="s">
        <v>802</v>
      </c>
      <c r="D17" s="7" t="s">
        <v>828</v>
      </c>
      <c r="E17" s="7" t="s">
        <v>804</v>
      </c>
      <c r="F17" s="7" t="s">
        <v>829</v>
      </c>
      <c r="G17" s="7" t="s">
        <v>806</v>
      </c>
      <c r="H17" s="7" t="s">
        <v>421</v>
      </c>
      <c r="I17" s="7" t="s">
        <v>807</v>
      </c>
      <c r="J17" s="13"/>
      <c r="K17" s="13" t="s">
        <v>138</v>
      </c>
    </row>
    <row r="18" spans="1:11" ht="44" customHeight="1">
      <c r="A18" s="7" t="s">
        <v>830</v>
      </c>
      <c r="B18" s="7" t="s">
        <v>584</v>
      </c>
      <c r="C18" s="7" t="s">
        <v>575</v>
      </c>
      <c r="D18" s="7" t="s">
        <v>831</v>
      </c>
      <c r="E18" s="7" t="s">
        <v>832</v>
      </c>
      <c r="F18" s="7" t="s">
        <v>833</v>
      </c>
      <c r="G18" s="7" t="s">
        <v>834</v>
      </c>
      <c r="H18" s="7" t="s">
        <v>421</v>
      </c>
      <c r="I18" s="7" t="s">
        <v>819</v>
      </c>
      <c r="J18" s="13"/>
      <c r="K18" s="13" t="s">
        <v>138</v>
      </c>
    </row>
    <row r="19" spans="1:11" ht="44" customHeight="1">
      <c r="A19" s="7" t="s">
        <v>835</v>
      </c>
      <c r="B19" s="7" t="s">
        <v>584</v>
      </c>
      <c r="C19" s="7" t="s">
        <v>815</v>
      </c>
      <c r="D19" s="7" t="s">
        <v>836</v>
      </c>
      <c r="E19" s="7" t="s">
        <v>769</v>
      </c>
      <c r="F19" s="7" t="s">
        <v>837</v>
      </c>
      <c r="G19" s="7" t="s">
        <v>818</v>
      </c>
      <c r="H19" s="7" t="s">
        <v>421</v>
      </c>
      <c r="I19" s="7" t="s">
        <v>819</v>
      </c>
      <c r="J19" s="13"/>
      <c r="K19" s="13" t="s">
        <v>138</v>
      </c>
    </row>
    <row r="20" spans="1:11" ht="44" customHeight="1">
      <c r="A20" s="7" t="s">
        <v>838</v>
      </c>
      <c r="B20" s="7" t="s">
        <v>584</v>
      </c>
      <c r="C20" s="7" t="s">
        <v>821</v>
      </c>
      <c r="D20" s="7" t="s">
        <v>839</v>
      </c>
      <c r="E20" s="7" t="s">
        <v>823</v>
      </c>
      <c r="F20" s="7" t="s">
        <v>824</v>
      </c>
      <c r="G20" s="7" t="s">
        <v>840</v>
      </c>
      <c r="H20" s="7" t="s">
        <v>421</v>
      </c>
      <c r="I20" s="7" t="s">
        <v>841</v>
      </c>
      <c r="J20" s="13"/>
      <c r="K20" s="13" t="s">
        <v>138</v>
      </c>
    </row>
    <row r="21" spans="1:11" ht="44" customHeight="1">
      <c r="A21" s="7" t="s">
        <v>842</v>
      </c>
      <c r="B21" s="7" t="s">
        <v>589</v>
      </c>
      <c r="C21" s="7" t="s">
        <v>802</v>
      </c>
      <c r="D21" s="7" t="s">
        <v>843</v>
      </c>
      <c r="E21" s="7" t="s">
        <v>804</v>
      </c>
      <c r="F21" s="7" t="s">
        <v>844</v>
      </c>
      <c r="G21" s="7" t="s">
        <v>806</v>
      </c>
      <c r="H21" s="7" t="s">
        <v>457</v>
      </c>
      <c r="I21" s="7" t="s">
        <v>807</v>
      </c>
      <c r="J21" s="13"/>
      <c r="K21" s="13" t="s">
        <v>138</v>
      </c>
    </row>
    <row r="22" spans="1:11" ht="44" customHeight="1">
      <c r="A22" s="7" t="s">
        <v>845</v>
      </c>
      <c r="B22" s="7" t="s">
        <v>589</v>
      </c>
      <c r="C22" s="7" t="s">
        <v>815</v>
      </c>
      <c r="D22" s="7" t="s">
        <v>846</v>
      </c>
      <c r="E22" s="7" t="s">
        <v>769</v>
      </c>
      <c r="F22" s="7" t="s">
        <v>847</v>
      </c>
      <c r="G22" s="7" t="s">
        <v>818</v>
      </c>
      <c r="H22" s="7" t="s">
        <v>457</v>
      </c>
      <c r="I22" s="7" t="s">
        <v>848</v>
      </c>
      <c r="J22" s="13"/>
      <c r="K22" s="13" t="s">
        <v>138</v>
      </c>
    </row>
    <row r="23" spans="1:11" ht="44" customHeight="1">
      <c r="A23" s="7" t="s">
        <v>849</v>
      </c>
      <c r="B23" s="7" t="s">
        <v>589</v>
      </c>
      <c r="C23" s="7" t="s">
        <v>774</v>
      </c>
      <c r="D23" s="7" t="s">
        <v>850</v>
      </c>
      <c r="E23" s="7" t="s">
        <v>851</v>
      </c>
      <c r="F23" s="7" t="s">
        <v>852</v>
      </c>
      <c r="G23" s="7" t="s">
        <v>853</v>
      </c>
      <c r="H23" s="7" t="s">
        <v>457</v>
      </c>
      <c r="I23" s="7" t="s">
        <v>848</v>
      </c>
      <c r="J23" s="13"/>
      <c r="K23" s="13" t="s">
        <v>138</v>
      </c>
    </row>
    <row r="24" spans="1:11" ht="44" customHeight="1">
      <c r="A24" s="7" t="s">
        <v>854</v>
      </c>
      <c r="B24" s="7" t="s">
        <v>589</v>
      </c>
      <c r="C24" s="7" t="s">
        <v>821</v>
      </c>
      <c r="D24" s="7" t="s">
        <v>855</v>
      </c>
      <c r="E24" s="7" t="s">
        <v>823</v>
      </c>
      <c r="F24" s="7" t="s">
        <v>824</v>
      </c>
      <c r="G24" s="7" t="s">
        <v>856</v>
      </c>
      <c r="H24" s="7" t="s">
        <v>457</v>
      </c>
      <c r="I24" s="7" t="s">
        <v>857</v>
      </c>
      <c r="J24" s="13"/>
      <c r="K24" s="13" t="s">
        <v>138</v>
      </c>
    </row>
    <row r="25" spans="1:11" ht="44" customHeight="1">
      <c r="A25" s="7" t="s">
        <v>858</v>
      </c>
      <c r="B25" s="7" t="s">
        <v>859</v>
      </c>
      <c r="C25" s="7" t="s">
        <v>860</v>
      </c>
      <c r="D25" s="7" t="s">
        <v>861</v>
      </c>
      <c r="E25" s="7" t="s">
        <v>862</v>
      </c>
      <c r="F25" s="7" t="s">
        <v>863</v>
      </c>
      <c r="G25" s="7" t="s">
        <v>864</v>
      </c>
      <c r="H25" s="7" t="s">
        <v>497</v>
      </c>
      <c r="I25" s="7" t="s">
        <v>819</v>
      </c>
      <c r="J25" s="13"/>
      <c r="K25" s="13" t="s">
        <v>138</v>
      </c>
    </row>
    <row r="26" spans="1:11" ht="44" customHeight="1">
      <c r="A26" s="7" t="s">
        <v>865</v>
      </c>
      <c r="B26" s="7" t="s">
        <v>859</v>
      </c>
      <c r="C26" s="7" t="s">
        <v>866</v>
      </c>
      <c r="D26" s="7" t="s">
        <v>867</v>
      </c>
      <c r="E26" s="7" t="s">
        <v>862</v>
      </c>
      <c r="F26" s="7" t="s">
        <v>868</v>
      </c>
      <c r="G26" s="7" t="s">
        <v>869</v>
      </c>
      <c r="H26" s="7" t="s">
        <v>497</v>
      </c>
      <c r="I26" s="7" t="s">
        <v>819</v>
      </c>
      <c r="J26" s="13"/>
      <c r="K26" s="13" t="s">
        <v>138</v>
      </c>
    </row>
    <row r="27" spans="1:11" ht="44" customHeight="1">
      <c r="A27" s="7" t="s">
        <v>870</v>
      </c>
      <c r="B27" s="7" t="s">
        <v>859</v>
      </c>
      <c r="C27" s="7" t="s">
        <v>866</v>
      </c>
      <c r="D27" s="7" t="s">
        <v>871</v>
      </c>
      <c r="E27" s="7" t="s">
        <v>862</v>
      </c>
      <c r="F27" s="7" t="s">
        <v>872</v>
      </c>
      <c r="G27" s="7" t="s">
        <v>873</v>
      </c>
      <c r="H27" s="7" t="s">
        <v>497</v>
      </c>
      <c r="I27" s="7" t="s">
        <v>874</v>
      </c>
      <c r="J27" s="13"/>
      <c r="K27" s="13" t="s">
        <v>138</v>
      </c>
    </row>
    <row r="28" spans="1:11" ht="44" customHeight="1">
      <c r="A28" s="7" t="s">
        <v>875</v>
      </c>
      <c r="B28" s="7" t="s">
        <v>859</v>
      </c>
      <c r="C28" s="7" t="s">
        <v>866</v>
      </c>
      <c r="D28" s="7" t="s">
        <v>876</v>
      </c>
      <c r="E28" s="7" t="s">
        <v>877</v>
      </c>
      <c r="F28" s="7" t="s">
        <v>878</v>
      </c>
      <c r="G28" s="7" t="s">
        <v>879</v>
      </c>
      <c r="H28" s="7" t="s">
        <v>497</v>
      </c>
      <c r="I28" s="7" t="s">
        <v>874</v>
      </c>
      <c r="J28" s="13"/>
      <c r="K28" s="13" t="s">
        <v>138</v>
      </c>
    </row>
    <row r="29" spans="1:11" ht="44" customHeight="1">
      <c r="A29" s="7" t="s">
        <v>880</v>
      </c>
      <c r="B29" s="7" t="s">
        <v>859</v>
      </c>
      <c r="C29" s="7" t="s">
        <v>620</v>
      </c>
      <c r="D29" s="7" t="s">
        <v>881</v>
      </c>
      <c r="E29" s="7" t="s">
        <v>862</v>
      </c>
      <c r="F29" s="7" t="s">
        <v>882</v>
      </c>
      <c r="G29" s="7" t="s">
        <v>883</v>
      </c>
      <c r="H29" s="7" t="s">
        <v>497</v>
      </c>
      <c r="I29" s="7" t="s">
        <v>884</v>
      </c>
      <c r="J29" s="13"/>
      <c r="K29" s="13" t="s">
        <v>138</v>
      </c>
    </row>
    <row r="30" spans="1:11" ht="44" customHeight="1">
      <c r="A30" s="7" t="s">
        <v>885</v>
      </c>
      <c r="B30" s="7" t="s">
        <v>886</v>
      </c>
      <c r="C30" s="7" t="s">
        <v>620</v>
      </c>
      <c r="D30" s="7" t="s">
        <v>887</v>
      </c>
      <c r="E30" s="7" t="s">
        <v>862</v>
      </c>
      <c r="F30" s="7" t="s">
        <v>888</v>
      </c>
      <c r="G30" s="7" t="s">
        <v>889</v>
      </c>
      <c r="H30" s="7" t="s">
        <v>497</v>
      </c>
      <c r="I30" s="7" t="s">
        <v>819</v>
      </c>
      <c r="J30" s="13"/>
      <c r="K30" s="13" t="s">
        <v>138</v>
      </c>
    </row>
    <row r="31" spans="1:11" ht="44" customHeight="1">
      <c r="A31" s="7" t="s">
        <v>890</v>
      </c>
      <c r="B31" s="7" t="s">
        <v>891</v>
      </c>
      <c r="C31" s="7" t="s">
        <v>610</v>
      </c>
      <c r="D31" s="7" t="s">
        <v>892</v>
      </c>
      <c r="E31" s="7" t="s">
        <v>762</v>
      </c>
      <c r="F31" s="7" t="s">
        <v>893</v>
      </c>
      <c r="G31" s="7" t="s">
        <v>894</v>
      </c>
      <c r="H31" s="7" t="s">
        <v>669</v>
      </c>
      <c r="I31" s="7" t="s">
        <v>874</v>
      </c>
      <c r="J31" s="13"/>
      <c r="K31" s="13" t="s">
        <v>138</v>
      </c>
    </row>
    <row r="32" spans="1:11" ht="44" customHeight="1">
      <c r="A32" s="7" t="s">
        <v>895</v>
      </c>
      <c r="B32" s="7" t="s">
        <v>629</v>
      </c>
      <c r="C32" s="7" t="s">
        <v>896</v>
      </c>
      <c r="D32" s="7" t="s">
        <v>897</v>
      </c>
      <c r="E32" s="7" t="s">
        <v>898</v>
      </c>
      <c r="F32" s="7" t="s">
        <v>899</v>
      </c>
      <c r="G32" s="7" t="s">
        <v>900</v>
      </c>
      <c r="H32" s="7" t="s">
        <v>732</v>
      </c>
      <c r="I32" s="7" t="s">
        <v>819</v>
      </c>
      <c r="J32" s="13"/>
      <c r="K32" s="13" t="s">
        <v>138</v>
      </c>
    </row>
  </sheetData>
  <mergeCells count="2">
    <mergeCell ref="A1:K2"/>
    <mergeCell ref="A3:K3"/>
  </mergeCells>
  <dataValidations count="1">
    <dataValidation type="list" sqref="K6:K32" xr:uid="{00000000-0002-0000-0500-000000000000}">
      <formula1>"Chưa bắt đầu,Đang thực hiện,Hoàn thành,BLOCK,N/A"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3"/>
  <sheetViews>
    <sheetView showGridLines="0" workbookViewId="0"/>
  </sheetViews>
  <sheetFormatPr defaultRowHeight="13.7"/>
  <cols>
    <col min="1" max="1" width="10" customWidth="1"/>
    <col min="2" max="2" width="12" customWidth="1"/>
    <col min="3" max="3" width="34" customWidth="1"/>
    <col min="4" max="4" width="18" customWidth="1"/>
    <col min="5" max="5" width="28" customWidth="1"/>
    <col min="6" max="6" width="20" customWidth="1"/>
    <col min="7" max="7" width="30" customWidth="1"/>
    <col min="8" max="8" width="42" customWidth="1"/>
    <col min="9" max="9" width="48" customWidth="1"/>
    <col min="10" max="10" width="16" customWidth="1"/>
  </cols>
  <sheetData>
    <row r="1" spans="1:10" ht="24" customHeight="1">
      <c r="A1" s="39" t="s">
        <v>67</v>
      </c>
      <c r="B1" s="39"/>
      <c r="C1" s="39"/>
      <c r="D1" s="39"/>
      <c r="E1" s="39"/>
      <c r="F1" s="39"/>
      <c r="G1" s="39"/>
      <c r="H1" s="39"/>
      <c r="I1" s="39"/>
      <c r="J1" s="39"/>
    </row>
    <row r="2" spans="1:10" ht="24" customHeight="1">
      <c r="A2" s="39"/>
      <c r="B2" s="39"/>
      <c r="C2" s="39"/>
      <c r="D2" s="39"/>
      <c r="E2" s="39"/>
      <c r="F2" s="39"/>
      <c r="G2" s="39"/>
      <c r="H2" s="39"/>
      <c r="I2" s="39"/>
      <c r="J2" s="39"/>
    </row>
    <row r="3" spans="1:10" ht="22" customHeight="1">
      <c r="A3" s="37" t="s">
        <v>901</v>
      </c>
      <c r="B3" s="37"/>
      <c r="C3" s="37"/>
      <c r="D3" s="37"/>
      <c r="E3" s="37"/>
      <c r="F3" s="37"/>
      <c r="G3" s="37"/>
      <c r="H3" s="37"/>
      <c r="I3" s="37"/>
      <c r="J3" s="37"/>
    </row>
    <row r="4" spans="1:10" ht="14.35">
      <c r="A4" s="16"/>
      <c r="B4" s="16"/>
      <c r="C4" s="16"/>
      <c r="D4" s="16"/>
      <c r="E4" s="16"/>
      <c r="F4" s="16"/>
      <c r="G4" s="16"/>
      <c r="H4" s="16"/>
      <c r="I4" s="16"/>
      <c r="J4" s="16"/>
    </row>
    <row r="5" spans="1:10" ht="34" customHeight="1">
      <c r="A5" s="3" t="s">
        <v>68</v>
      </c>
      <c r="B5" s="3" t="s">
        <v>69</v>
      </c>
      <c r="C5" s="3" t="s">
        <v>70</v>
      </c>
      <c r="D5" s="3" t="s">
        <v>71</v>
      </c>
      <c r="E5" s="3" t="s">
        <v>72</v>
      </c>
      <c r="F5" s="3" t="s">
        <v>73</v>
      </c>
      <c r="G5" s="3" t="s">
        <v>74</v>
      </c>
      <c r="H5" s="3" t="s">
        <v>75</v>
      </c>
      <c r="I5" s="3" t="s">
        <v>76</v>
      </c>
      <c r="J5" s="3" t="s">
        <v>39</v>
      </c>
    </row>
    <row r="6" spans="1:10" ht="48" customHeight="1">
      <c r="A6" s="6" t="s">
        <v>902</v>
      </c>
      <c r="B6" s="6" t="s">
        <v>903</v>
      </c>
      <c r="C6" s="6" t="s">
        <v>904</v>
      </c>
      <c r="D6" s="6" t="s">
        <v>905</v>
      </c>
      <c r="E6" s="6" t="s">
        <v>776</v>
      </c>
      <c r="F6" s="12" t="s">
        <v>906</v>
      </c>
      <c r="G6" s="6" t="s">
        <v>907</v>
      </c>
      <c r="H6" s="6" t="s">
        <v>908</v>
      </c>
      <c r="I6" s="6" t="s">
        <v>909</v>
      </c>
      <c r="J6" s="12" t="s">
        <v>138</v>
      </c>
    </row>
    <row r="7" spans="1:10" ht="48" customHeight="1">
      <c r="A7" s="7" t="s">
        <v>910</v>
      </c>
      <c r="B7" s="7" t="s">
        <v>903</v>
      </c>
      <c r="C7" s="7" t="s">
        <v>911</v>
      </c>
      <c r="D7" s="7" t="s">
        <v>912</v>
      </c>
      <c r="E7" s="7" t="s">
        <v>913</v>
      </c>
      <c r="F7" s="13" t="s">
        <v>906</v>
      </c>
      <c r="G7" s="7" t="s">
        <v>914</v>
      </c>
      <c r="H7" s="7" t="s">
        <v>915</v>
      </c>
      <c r="I7" s="7" t="s">
        <v>916</v>
      </c>
      <c r="J7" s="13" t="s">
        <v>138</v>
      </c>
    </row>
    <row r="8" spans="1:10" ht="48" customHeight="1">
      <c r="A8" s="7" t="s">
        <v>917</v>
      </c>
      <c r="B8" s="7" t="s">
        <v>918</v>
      </c>
      <c r="C8" s="7" t="s">
        <v>919</v>
      </c>
      <c r="D8" s="7" t="s">
        <v>920</v>
      </c>
      <c r="E8" s="7" t="s">
        <v>921</v>
      </c>
      <c r="F8" s="13" t="s">
        <v>922</v>
      </c>
      <c r="G8" s="7" t="s">
        <v>923</v>
      </c>
      <c r="H8" s="7" t="s">
        <v>924</v>
      </c>
      <c r="I8" s="7" t="s">
        <v>925</v>
      </c>
      <c r="J8" s="13" t="s">
        <v>138</v>
      </c>
    </row>
    <row r="9" spans="1:10" ht="48" customHeight="1">
      <c r="A9" s="7" t="s">
        <v>926</v>
      </c>
      <c r="B9" s="7" t="s">
        <v>918</v>
      </c>
      <c r="C9" s="7" t="s">
        <v>927</v>
      </c>
      <c r="D9" s="7" t="s">
        <v>928</v>
      </c>
      <c r="E9" s="7" t="s">
        <v>929</v>
      </c>
      <c r="F9" s="13" t="s">
        <v>906</v>
      </c>
      <c r="G9" s="7" t="s">
        <v>930</v>
      </c>
      <c r="H9" s="7" t="s">
        <v>931</v>
      </c>
      <c r="I9" s="7" t="s">
        <v>932</v>
      </c>
      <c r="J9" s="13" t="s">
        <v>138</v>
      </c>
    </row>
    <row r="10" spans="1:10" ht="48" customHeight="1">
      <c r="A10" s="7" t="s">
        <v>933</v>
      </c>
      <c r="B10" s="7" t="s">
        <v>934</v>
      </c>
      <c r="C10" s="7" t="s">
        <v>935</v>
      </c>
      <c r="D10" s="7" t="s">
        <v>905</v>
      </c>
      <c r="E10" s="7" t="s">
        <v>929</v>
      </c>
      <c r="F10" s="13" t="s">
        <v>906</v>
      </c>
      <c r="G10" s="7" t="s">
        <v>923</v>
      </c>
      <c r="H10" s="7" t="s">
        <v>936</v>
      </c>
      <c r="I10" s="7" t="s">
        <v>937</v>
      </c>
      <c r="J10" s="13" t="s">
        <v>138</v>
      </c>
    </row>
    <row r="11" spans="1:10" ht="48" customHeight="1">
      <c r="A11" s="7" t="s">
        <v>938</v>
      </c>
      <c r="B11" s="7" t="s">
        <v>934</v>
      </c>
      <c r="C11" s="7" t="s">
        <v>939</v>
      </c>
      <c r="D11" s="7" t="s">
        <v>940</v>
      </c>
      <c r="E11" s="7" t="s">
        <v>941</v>
      </c>
      <c r="F11" s="13" t="s">
        <v>906</v>
      </c>
      <c r="G11" s="7" t="s">
        <v>942</v>
      </c>
      <c r="H11" s="7" t="s">
        <v>943</v>
      </c>
      <c r="I11" s="7" t="s">
        <v>944</v>
      </c>
      <c r="J11" s="13" t="s">
        <v>138</v>
      </c>
    </row>
    <row r="12" spans="1:10" ht="42" customHeight="1">
      <c r="A12" s="7" t="s">
        <v>945</v>
      </c>
      <c r="B12" s="7" t="s">
        <v>946</v>
      </c>
      <c r="C12" s="7" t="s">
        <v>947</v>
      </c>
      <c r="D12" s="7" t="s">
        <v>948</v>
      </c>
      <c r="E12" s="7" t="s">
        <v>949</v>
      </c>
      <c r="F12" s="13" t="s">
        <v>950</v>
      </c>
      <c r="G12" s="7" t="s">
        <v>951</v>
      </c>
      <c r="H12" s="7" t="s">
        <v>952</v>
      </c>
      <c r="I12" s="7" t="s">
        <v>953</v>
      </c>
      <c r="J12" s="13" t="s">
        <v>138</v>
      </c>
    </row>
    <row r="13" spans="1:10" ht="48" customHeight="1">
      <c r="A13" s="7" t="s">
        <v>954</v>
      </c>
      <c r="B13" s="7" t="s">
        <v>946</v>
      </c>
      <c r="C13" s="7" t="s">
        <v>955</v>
      </c>
      <c r="D13" s="7" t="s">
        <v>956</v>
      </c>
      <c r="E13" s="7" t="s">
        <v>957</v>
      </c>
      <c r="F13" s="13" t="s">
        <v>958</v>
      </c>
      <c r="G13" s="7" t="s">
        <v>959</v>
      </c>
      <c r="H13" s="7" t="s">
        <v>960</v>
      </c>
      <c r="I13" s="7" t="s">
        <v>961</v>
      </c>
      <c r="J13" s="13" t="s">
        <v>138</v>
      </c>
    </row>
  </sheetData>
  <mergeCells count="2">
    <mergeCell ref="A1:J2"/>
    <mergeCell ref="A3:J3"/>
  </mergeCells>
  <dataValidations count="1">
    <dataValidation type="list" sqref="J6:J13" xr:uid="{00000000-0002-0000-0600-000000000000}">
      <formula1>"Chưa bắt đầu,Đang thực hiện,Hoàn thành,BLOCK,N/A"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7"/>
  <sheetViews>
    <sheetView showGridLines="0" workbookViewId="0"/>
  </sheetViews>
  <sheetFormatPr defaultRowHeight="13.7"/>
  <cols>
    <col min="1" max="1" width="9" customWidth="1"/>
    <col min="2" max="2" width="16" customWidth="1"/>
    <col min="3" max="3" width="24" customWidth="1"/>
    <col min="4" max="4" width="65" customWidth="1"/>
    <col min="5" max="5" width="38" customWidth="1"/>
    <col min="6" max="6" width="17" customWidth="1"/>
    <col min="7" max="7" width="50" customWidth="1"/>
    <col min="8" max="8" width="28" customWidth="1"/>
  </cols>
  <sheetData>
    <row r="1" spans="1:8" ht="24" customHeight="1">
      <c r="A1" s="39" t="s">
        <v>77</v>
      </c>
      <c r="B1" s="39"/>
      <c r="C1" s="39"/>
      <c r="D1" s="39"/>
      <c r="E1" s="39"/>
      <c r="F1" s="39"/>
      <c r="G1" s="39"/>
      <c r="H1" s="39"/>
    </row>
    <row r="2" spans="1:8" ht="24" customHeight="1">
      <c r="A2" s="39"/>
      <c r="B2" s="39"/>
      <c r="C2" s="39"/>
      <c r="D2" s="39"/>
      <c r="E2" s="39"/>
      <c r="F2" s="39"/>
      <c r="G2" s="39"/>
      <c r="H2" s="39"/>
    </row>
    <row r="3" spans="1:8" ht="22" customHeight="1">
      <c r="A3" s="37" t="s">
        <v>962</v>
      </c>
      <c r="B3" s="37"/>
      <c r="C3" s="37"/>
      <c r="D3" s="37"/>
      <c r="E3" s="37"/>
      <c r="F3" s="37"/>
      <c r="G3" s="37"/>
      <c r="H3" s="37"/>
    </row>
    <row r="4" spans="1:8" ht="14.35">
      <c r="A4" s="16"/>
      <c r="B4" s="16"/>
      <c r="C4" s="16"/>
      <c r="D4" s="16"/>
      <c r="E4" s="16"/>
      <c r="F4" s="16"/>
      <c r="G4" s="16"/>
      <c r="H4" s="16"/>
    </row>
    <row r="5" spans="1:8" ht="34" customHeight="1">
      <c r="A5" s="3" t="s">
        <v>30</v>
      </c>
      <c r="B5" s="3" t="s">
        <v>78</v>
      </c>
      <c r="C5" s="3" t="s">
        <v>79</v>
      </c>
      <c r="D5" s="3" t="s">
        <v>80</v>
      </c>
      <c r="E5" s="3" t="s">
        <v>66</v>
      </c>
      <c r="F5" s="3" t="s">
        <v>39</v>
      </c>
      <c r="G5" s="3" t="s">
        <v>81</v>
      </c>
      <c r="H5" s="3" t="s">
        <v>40</v>
      </c>
    </row>
    <row r="6" spans="1:8" ht="48" customHeight="1">
      <c r="A6" s="6" t="s">
        <v>102</v>
      </c>
      <c r="B6" s="6" t="s">
        <v>963</v>
      </c>
      <c r="C6" s="6" t="s">
        <v>964</v>
      </c>
      <c r="D6" s="6" t="s">
        <v>965</v>
      </c>
      <c r="E6" s="6" t="s">
        <v>966</v>
      </c>
      <c r="F6" s="12" t="s">
        <v>967</v>
      </c>
      <c r="G6" s="6" t="s">
        <v>968</v>
      </c>
      <c r="H6" s="12"/>
    </row>
    <row r="7" spans="1:8" ht="48" customHeight="1">
      <c r="A7" s="7" t="s">
        <v>107</v>
      </c>
      <c r="B7" s="7" t="s">
        <v>969</v>
      </c>
      <c r="C7" s="7" t="s">
        <v>970</v>
      </c>
      <c r="D7" s="7" t="s">
        <v>971</v>
      </c>
      <c r="E7" s="7" t="s">
        <v>972</v>
      </c>
      <c r="F7" s="13" t="s">
        <v>967</v>
      </c>
      <c r="G7" s="7" t="s">
        <v>973</v>
      </c>
      <c r="H7" s="13"/>
    </row>
    <row r="8" spans="1:8" ht="48" customHeight="1">
      <c r="A8" s="7" t="s">
        <v>112</v>
      </c>
      <c r="B8" s="7" t="s">
        <v>974</v>
      </c>
      <c r="C8" s="7" t="s">
        <v>975</v>
      </c>
      <c r="D8" s="7" t="s">
        <v>976</v>
      </c>
      <c r="E8" s="7" t="s">
        <v>977</v>
      </c>
      <c r="F8" s="13" t="s">
        <v>967</v>
      </c>
      <c r="G8" s="7" t="s">
        <v>978</v>
      </c>
      <c r="H8" s="13"/>
    </row>
    <row r="9" spans="1:8" ht="48" customHeight="1">
      <c r="A9" s="7" t="s">
        <v>117</v>
      </c>
      <c r="B9" s="7" t="s">
        <v>979</v>
      </c>
      <c r="C9" s="7" t="s">
        <v>980</v>
      </c>
      <c r="D9" s="7" t="s">
        <v>981</v>
      </c>
      <c r="E9" s="7" t="s">
        <v>362</v>
      </c>
      <c r="F9" s="13" t="s">
        <v>967</v>
      </c>
      <c r="G9" s="7" t="s">
        <v>982</v>
      </c>
      <c r="H9" s="13"/>
    </row>
    <row r="10" spans="1:8" ht="48" customHeight="1">
      <c r="A10" s="7" t="s">
        <v>370</v>
      </c>
      <c r="B10" s="7" t="s">
        <v>983</v>
      </c>
      <c r="C10" s="7" t="s">
        <v>984</v>
      </c>
      <c r="D10" s="7" t="s">
        <v>985</v>
      </c>
      <c r="E10" s="7" t="s">
        <v>986</v>
      </c>
      <c r="F10" s="13" t="s">
        <v>967</v>
      </c>
      <c r="G10" s="7" t="s">
        <v>987</v>
      </c>
      <c r="H10" s="13"/>
    </row>
    <row r="11" spans="1:8" ht="48" customHeight="1">
      <c r="A11" s="7" t="s">
        <v>390</v>
      </c>
      <c r="B11" s="7" t="s">
        <v>988</v>
      </c>
      <c r="C11" s="7" t="s">
        <v>989</v>
      </c>
      <c r="D11" s="7" t="s">
        <v>990</v>
      </c>
      <c r="E11" s="7" t="s">
        <v>991</v>
      </c>
      <c r="F11" s="13" t="s">
        <v>967</v>
      </c>
      <c r="G11" s="7" t="s">
        <v>992</v>
      </c>
      <c r="H11" s="13"/>
    </row>
    <row r="12" spans="1:8" ht="48" customHeight="1">
      <c r="A12" s="7" t="s">
        <v>401</v>
      </c>
      <c r="B12" s="7" t="s">
        <v>993</v>
      </c>
      <c r="C12" s="7" t="s">
        <v>994</v>
      </c>
      <c r="D12" s="7" t="s">
        <v>995</v>
      </c>
      <c r="E12" s="7" t="s">
        <v>996</v>
      </c>
      <c r="F12" s="13" t="s">
        <v>967</v>
      </c>
      <c r="G12" s="7" t="s">
        <v>997</v>
      </c>
      <c r="H12" s="13"/>
    </row>
    <row r="13" spans="1:8" ht="48" customHeight="1">
      <c r="A13" s="7" t="s">
        <v>421</v>
      </c>
      <c r="B13" s="7" t="s">
        <v>998</v>
      </c>
      <c r="C13" s="7" t="s">
        <v>999</v>
      </c>
      <c r="D13" s="7" t="s">
        <v>1000</v>
      </c>
      <c r="E13" s="7" t="s">
        <v>1001</v>
      </c>
      <c r="F13" s="13" t="s">
        <v>967</v>
      </c>
      <c r="G13" s="7" t="s">
        <v>1002</v>
      </c>
      <c r="H13" s="13"/>
    </row>
    <row r="14" spans="1:8" ht="48" customHeight="1">
      <c r="A14" s="7" t="s">
        <v>432</v>
      </c>
      <c r="B14" s="7" t="s">
        <v>1003</v>
      </c>
      <c r="C14" s="7" t="s">
        <v>1004</v>
      </c>
      <c r="D14" s="7" t="s">
        <v>1005</v>
      </c>
      <c r="E14" s="7" t="s">
        <v>1006</v>
      </c>
      <c r="F14" s="13" t="s">
        <v>967</v>
      </c>
      <c r="G14" s="7" t="s">
        <v>1007</v>
      </c>
      <c r="H14" s="13"/>
    </row>
    <row r="15" spans="1:8" ht="48" customHeight="1">
      <c r="A15" s="7" t="s">
        <v>457</v>
      </c>
      <c r="B15" s="7" t="s">
        <v>1008</v>
      </c>
      <c r="C15" s="7" t="s">
        <v>1009</v>
      </c>
      <c r="D15" s="7" t="s">
        <v>1010</v>
      </c>
      <c r="E15" s="7" t="s">
        <v>1011</v>
      </c>
      <c r="F15" s="13" t="s">
        <v>967</v>
      </c>
      <c r="G15" s="7" t="s">
        <v>1012</v>
      </c>
      <c r="H15" s="13"/>
    </row>
    <row r="16" spans="1:8" ht="48" customHeight="1">
      <c r="A16" s="7" t="s">
        <v>497</v>
      </c>
      <c r="B16" s="7" t="s">
        <v>1013</v>
      </c>
      <c r="C16" s="7" t="s">
        <v>1014</v>
      </c>
      <c r="D16" s="7" t="s">
        <v>1015</v>
      </c>
      <c r="E16" s="7" t="s">
        <v>1016</v>
      </c>
      <c r="F16" s="13" t="s">
        <v>967</v>
      </c>
      <c r="G16" s="7" t="s">
        <v>652</v>
      </c>
      <c r="H16" s="13"/>
    </row>
    <row r="17" spans="1:8" ht="48" customHeight="1">
      <c r="A17" s="7" t="s">
        <v>544</v>
      </c>
      <c r="B17" s="7" t="s">
        <v>1017</v>
      </c>
      <c r="C17" s="7" t="s">
        <v>1018</v>
      </c>
      <c r="D17" s="7" t="s">
        <v>1019</v>
      </c>
      <c r="E17" s="7" t="s">
        <v>1020</v>
      </c>
      <c r="F17" s="13" t="s">
        <v>967</v>
      </c>
      <c r="G17" s="7" t="s">
        <v>1021</v>
      </c>
      <c r="H17" s="13"/>
    </row>
  </sheetData>
  <mergeCells count="2">
    <mergeCell ref="A1:H2"/>
    <mergeCell ref="A3:H3"/>
  </mergeCells>
  <dataValidations count="1">
    <dataValidation type="list" sqref="F6:F17" xr:uid="{00000000-0002-0000-0700-000000000000}">
      <formula1>"Chưa đánh giá,PASS,CONDITIONAL,BLOCK,N/A"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7"/>
  <sheetViews>
    <sheetView showGridLines="0" workbookViewId="0"/>
  </sheetViews>
  <sheetFormatPr defaultRowHeight="13.7"/>
  <cols>
    <col min="1" max="1" width="9" customWidth="1"/>
    <col min="2" max="2" width="42" customWidth="1"/>
    <col min="3" max="3" width="12" customWidth="1"/>
    <col min="4" max="4" width="10" customWidth="1"/>
    <col min="5" max="5" width="9" customWidth="1"/>
    <col min="6" max="6" width="12" customWidth="1"/>
    <col min="7" max="7" width="58" customWidth="1"/>
    <col min="8" max="8" width="16" customWidth="1"/>
    <col min="9" max="9" width="14" customWidth="1"/>
    <col min="10" max="10" width="36" customWidth="1"/>
  </cols>
  <sheetData>
    <row r="1" spans="1:10" ht="24" customHeight="1">
      <c r="A1" s="39" t="s">
        <v>82</v>
      </c>
      <c r="B1" s="39"/>
      <c r="C1" s="39"/>
      <c r="D1" s="39"/>
      <c r="E1" s="39"/>
      <c r="F1" s="39"/>
      <c r="G1" s="39"/>
      <c r="H1" s="39"/>
      <c r="I1" s="39"/>
      <c r="J1" s="39"/>
    </row>
    <row r="2" spans="1:10" ht="24" customHeight="1">
      <c r="A2" s="39"/>
      <c r="B2" s="39"/>
      <c r="C2" s="39"/>
      <c r="D2" s="39"/>
      <c r="E2" s="39"/>
      <c r="F2" s="39"/>
      <c r="G2" s="39"/>
      <c r="H2" s="39"/>
      <c r="I2" s="39"/>
      <c r="J2" s="39"/>
    </row>
    <row r="3" spans="1:10" ht="22" customHeight="1">
      <c r="A3" s="37" t="s">
        <v>83</v>
      </c>
      <c r="B3" s="37"/>
      <c r="C3" s="37"/>
      <c r="D3" s="37"/>
      <c r="E3" s="37"/>
      <c r="F3" s="37"/>
      <c r="G3" s="37"/>
      <c r="H3" s="37"/>
      <c r="I3" s="37"/>
      <c r="J3" s="37"/>
    </row>
    <row r="4" spans="1:10" ht="14.35">
      <c r="A4" s="16"/>
      <c r="B4" s="16"/>
      <c r="C4" s="16"/>
      <c r="D4" s="16"/>
      <c r="E4" s="16"/>
      <c r="F4" s="16"/>
      <c r="G4" s="16"/>
      <c r="H4" s="16"/>
      <c r="I4" s="16"/>
      <c r="J4" s="16"/>
    </row>
    <row r="5" spans="1:10" ht="34" customHeight="1">
      <c r="A5" s="3" t="s">
        <v>84</v>
      </c>
      <c r="B5" s="3" t="s">
        <v>85</v>
      </c>
      <c r="C5" s="3" t="s">
        <v>86</v>
      </c>
      <c r="D5" s="3" t="s">
        <v>87</v>
      </c>
      <c r="E5" s="3" t="s">
        <v>88</v>
      </c>
      <c r="F5" s="3" t="s">
        <v>89</v>
      </c>
      <c r="G5" s="3" t="s">
        <v>90</v>
      </c>
      <c r="H5" s="3" t="s">
        <v>78</v>
      </c>
      <c r="I5" s="3" t="s">
        <v>39</v>
      </c>
      <c r="J5" s="3" t="s">
        <v>91</v>
      </c>
    </row>
    <row r="6" spans="1:10" ht="46" customHeight="1">
      <c r="A6" s="6" t="s">
        <v>1022</v>
      </c>
      <c r="B6" s="6" t="s">
        <v>1023</v>
      </c>
      <c r="C6" s="12">
        <v>4</v>
      </c>
      <c r="D6" s="12">
        <v>5</v>
      </c>
      <c r="E6" s="6">
        <f t="shared" ref="E6:E17" si="0">C6*D6</f>
        <v>20</v>
      </c>
      <c r="F6" s="6" t="str">
        <f t="shared" ref="F6:F17" si="1">IF(E6&gt;=15,"Critical",IF(E6&gt;=10,"High",IF(E6&gt;=5,"Medium","Low")))</f>
        <v>Critical</v>
      </c>
      <c r="G6" s="6" t="s">
        <v>1024</v>
      </c>
      <c r="H6" s="6" t="s">
        <v>132</v>
      </c>
      <c r="I6" s="12" t="s">
        <v>1025</v>
      </c>
      <c r="J6" s="12"/>
    </row>
    <row r="7" spans="1:10" ht="46" customHeight="1">
      <c r="A7" s="7" t="s">
        <v>1026</v>
      </c>
      <c r="B7" s="7" t="s">
        <v>1027</v>
      </c>
      <c r="C7" s="13">
        <v>3</v>
      </c>
      <c r="D7" s="13">
        <v>5</v>
      </c>
      <c r="E7" s="7">
        <f t="shared" si="0"/>
        <v>15</v>
      </c>
      <c r="F7" s="7" t="str">
        <f t="shared" si="1"/>
        <v>Critical</v>
      </c>
      <c r="G7" s="7" t="s">
        <v>1028</v>
      </c>
      <c r="H7" s="7" t="s">
        <v>1029</v>
      </c>
      <c r="I7" s="13" t="s">
        <v>1025</v>
      </c>
      <c r="J7" s="13"/>
    </row>
    <row r="8" spans="1:10" ht="46" customHeight="1">
      <c r="A8" s="7" t="s">
        <v>1030</v>
      </c>
      <c r="B8" s="7" t="s">
        <v>1031</v>
      </c>
      <c r="C8" s="13">
        <v>3</v>
      </c>
      <c r="D8" s="13">
        <v>5</v>
      </c>
      <c r="E8" s="7">
        <f t="shared" si="0"/>
        <v>15</v>
      </c>
      <c r="F8" s="7" t="str">
        <f t="shared" si="1"/>
        <v>Critical</v>
      </c>
      <c r="G8" s="7" t="s">
        <v>1032</v>
      </c>
      <c r="H8" s="7" t="s">
        <v>1029</v>
      </c>
      <c r="I8" s="13" t="s">
        <v>1025</v>
      </c>
      <c r="J8" s="13"/>
    </row>
    <row r="9" spans="1:10" ht="46" customHeight="1">
      <c r="A9" s="7" t="s">
        <v>1033</v>
      </c>
      <c r="B9" s="7" t="s">
        <v>1034</v>
      </c>
      <c r="C9" s="13">
        <v>3</v>
      </c>
      <c r="D9" s="13">
        <v>5</v>
      </c>
      <c r="E9" s="7">
        <f t="shared" si="0"/>
        <v>15</v>
      </c>
      <c r="F9" s="7" t="str">
        <f t="shared" si="1"/>
        <v>Critical</v>
      </c>
      <c r="G9" s="7" t="s">
        <v>1035</v>
      </c>
      <c r="H9" s="7" t="s">
        <v>1036</v>
      </c>
      <c r="I9" s="13" t="s">
        <v>1025</v>
      </c>
      <c r="J9" s="13"/>
    </row>
    <row r="10" spans="1:10" ht="46" customHeight="1">
      <c r="A10" s="7" t="s">
        <v>1037</v>
      </c>
      <c r="B10" s="7" t="s">
        <v>1038</v>
      </c>
      <c r="C10" s="13">
        <v>3</v>
      </c>
      <c r="D10" s="13">
        <v>5</v>
      </c>
      <c r="E10" s="7">
        <f t="shared" si="0"/>
        <v>15</v>
      </c>
      <c r="F10" s="7" t="str">
        <f t="shared" si="1"/>
        <v>Critical</v>
      </c>
      <c r="G10" s="7" t="s">
        <v>1039</v>
      </c>
      <c r="H10" s="7" t="s">
        <v>1036</v>
      </c>
      <c r="I10" s="13" t="s">
        <v>1025</v>
      </c>
      <c r="J10" s="13"/>
    </row>
    <row r="11" spans="1:10" ht="46" customHeight="1">
      <c r="A11" s="7" t="s">
        <v>1040</v>
      </c>
      <c r="B11" s="7" t="s">
        <v>1041</v>
      </c>
      <c r="C11" s="13">
        <v>3</v>
      </c>
      <c r="D11" s="13">
        <v>5</v>
      </c>
      <c r="E11" s="7">
        <f t="shared" si="0"/>
        <v>15</v>
      </c>
      <c r="F11" s="7" t="str">
        <f t="shared" si="1"/>
        <v>Critical</v>
      </c>
      <c r="G11" s="7" t="s">
        <v>1042</v>
      </c>
      <c r="H11" s="7" t="s">
        <v>1043</v>
      </c>
      <c r="I11" s="13" t="s">
        <v>1025</v>
      </c>
      <c r="J11" s="13"/>
    </row>
    <row r="12" spans="1:10" ht="46" customHeight="1">
      <c r="A12" s="7" t="s">
        <v>1044</v>
      </c>
      <c r="B12" s="7" t="s">
        <v>1045</v>
      </c>
      <c r="C12" s="13">
        <v>4</v>
      </c>
      <c r="D12" s="13">
        <v>5</v>
      </c>
      <c r="E12" s="7">
        <f t="shared" si="0"/>
        <v>20</v>
      </c>
      <c r="F12" s="7" t="str">
        <f t="shared" si="1"/>
        <v>Critical</v>
      </c>
      <c r="G12" s="7" t="s">
        <v>1046</v>
      </c>
      <c r="H12" s="7" t="s">
        <v>1043</v>
      </c>
      <c r="I12" s="13" t="s">
        <v>1025</v>
      </c>
      <c r="J12" s="13"/>
    </row>
    <row r="13" spans="1:10" ht="46" customHeight="1">
      <c r="A13" s="7" t="s">
        <v>1047</v>
      </c>
      <c r="B13" s="7" t="s">
        <v>1048</v>
      </c>
      <c r="C13" s="13">
        <v>4</v>
      </c>
      <c r="D13" s="13">
        <v>4</v>
      </c>
      <c r="E13" s="7">
        <f t="shared" si="0"/>
        <v>16</v>
      </c>
      <c r="F13" s="7" t="str">
        <f t="shared" si="1"/>
        <v>Critical</v>
      </c>
      <c r="G13" s="7" t="s">
        <v>1049</v>
      </c>
      <c r="H13" s="7" t="s">
        <v>1050</v>
      </c>
      <c r="I13" s="13" t="s">
        <v>1025</v>
      </c>
      <c r="J13" s="13"/>
    </row>
    <row r="14" spans="1:10" ht="46" customHeight="1">
      <c r="A14" s="7" t="s">
        <v>1051</v>
      </c>
      <c r="B14" s="7" t="s">
        <v>1052</v>
      </c>
      <c r="C14" s="13">
        <v>3</v>
      </c>
      <c r="D14" s="13">
        <v>4</v>
      </c>
      <c r="E14" s="7">
        <f t="shared" si="0"/>
        <v>12</v>
      </c>
      <c r="F14" s="7" t="str">
        <f t="shared" si="1"/>
        <v>High</v>
      </c>
      <c r="G14" s="7" t="s">
        <v>1053</v>
      </c>
      <c r="H14" s="7" t="s">
        <v>1054</v>
      </c>
      <c r="I14" s="13" t="s">
        <v>1025</v>
      </c>
      <c r="J14" s="13"/>
    </row>
    <row r="15" spans="1:10" ht="46" customHeight="1">
      <c r="A15" s="7" t="s">
        <v>1055</v>
      </c>
      <c r="B15" s="7" t="s">
        <v>1056</v>
      </c>
      <c r="C15" s="13">
        <v>3</v>
      </c>
      <c r="D15" s="13">
        <v>4</v>
      </c>
      <c r="E15" s="7">
        <f t="shared" si="0"/>
        <v>12</v>
      </c>
      <c r="F15" s="7" t="str">
        <f t="shared" si="1"/>
        <v>High</v>
      </c>
      <c r="G15" s="7" t="s">
        <v>1057</v>
      </c>
      <c r="H15" s="7" t="s">
        <v>1058</v>
      </c>
      <c r="I15" s="13" t="s">
        <v>1025</v>
      </c>
      <c r="J15" s="13"/>
    </row>
    <row r="16" spans="1:10" ht="46" customHeight="1">
      <c r="A16" s="7" t="s">
        <v>1059</v>
      </c>
      <c r="B16" s="7" t="s">
        <v>1060</v>
      </c>
      <c r="C16" s="13">
        <v>3</v>
      </c>
      <c r="D16" s="13">
        <v>3</v>
      </c>
      <c r="E16" s="7">
        <f t="shared" si="0"/>
        <v>9</v>
      </c>
      <c r="F16" s="7" t="str">
        <f t="shared" si="1"/>
        <v>Medium</v>
      </c>
      <c r="G16" s="7" t="s">
        <v>1061</v>
      </c>
      <c r="H16" s="7" t="s">
        <v>460</v>
      </c>
      <c r="I16" s="13" t="s">
        <v>1025</v>
      </c>
      <c r="J16" s="13"/>
    </row>
    <row r="17" spans="1:10" ht="46" customHeight="1">
      <c r="A17" s="7" t="s">
        <v>1062</v>
      </c>
      <c r="B17" s="7" t="s">
        <v>1063</v>
      </c>
      <c r="C17" s="13">
        <v>3</v>
      </c>
      <c r="D17" s="13">
        <v>4</v>
      </c>
      <c r="E17" s="7">
        <f t="shared" si="0"/>
        <v>12</v>
      </c>
      <c r="F17" s="7" t="str">
        <f t="shared" si="1"/>
        <v>High</v>
      </c>
      <c r="G17" s="7" t="s">
        <v>1064</v>
      </c>
      <c r="H17" s="7" t="s">
        <v>1065</v>
      </c>
      <c r="I17" s="13" t="s">
        <v>1025</v>
      </c>
      <c r="J17" s="13"/>
    </row>
  </sheetData>
  <mergeCells count="2">
    <mergeCell ref="A1:J2"/>
    <mergeCell ref="A3:J3"/>
  </mergeCells>
  <dataValidations count="2">
    <dataValidation type="whole" sqref="C6:D17" xr:uid="{00000000-0002-0000-0800-000000000000}">
      <formula1>1</formula1>
      <formula2>5</formula2>
    </dataValidation>
    <dataValidation type="list" sqref="I6:I17" xr:uid="{00000000-0002-0000-0800-000001000000}">
      <formula1>"Open,Mitigating,Accepted,Closed"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00_TongQuan</vt:lpstr>
      <vt:lpstr>01_KeHoach</vt:lpstr>
      <vt:lpstr>02_Gantt</vt:lpstr>
      <vt:lpstr>03_DanhMucTaiLieu</vt:lpstr>
      <vt:lpstr>04_DanhMucChecklist</vt:lpstr>
      <vt:lpstr>05_LabTest</vt:lpstr>
      <vt:lpstr>06_Workload_IO</vt:lpstr>
      <vt:lpstr>07_GO_NOGO</vt:lpstr>
      <vt:lpstr>08_RuiRo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Tran Nguyen Hai Dang 20226020</cp:lastModifiedBy>
  <dcterms:modified xsi:type="dcterms:W3CDTF">2026-08-24T08:43:34Z</dcterms:modified>
</cp:coreProperties>
</file>