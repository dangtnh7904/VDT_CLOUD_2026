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reer\VDT\GD2\upgrade_Ceph\"/>
    </mc:Choice>
  </mc:AlternateContent>
  <xr:revisionPtr revIDLastSave="0" documentId="13_ncr:1_{97F1D130-67C8-4DDC-A1E4-5C39FE1D99BA}" xr6:coauthVersionLast="47" xr6:coauthVersionMax="47" xr10:uidLastSave="{00000000-0000-0000-0000-000000000000}"/>
  <bookViews>
    <workbookView xWindow="-93" yWindow="-93" windowWidth="20666" windowHeight="12266" activeTab="1" xr2:uid="{00000000-000D-0000-FFFF-FFFF00000000}"/>
  </bookViews>
  <sheets>
    <sheet name="Tong quan" sheetId="1" r:id="rId1"/>
    <sheet name="plan" sheetId="2" r:id="rId2"/>
    <sheet name="Mau ket qua As-Is" sheetId="3" r:id="rId3"/>
    <sheet name="Lenh va ngu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G5" i="1"/>
  <c r="E5" i="1"/>
  <c r="C5" i="1"/>
  <c r="A5" i="1"/>
  <c r="K5" i="1" l="1"/>
</calcChain>
</file>

<file path=xl/sharedStrings.xml><?xml version="1.0" encoding="utf-8"?>
<sst xmlns="http://schemas.openxmlformats.org/spreadsheetml/2006/main" count="549" uniqueCount="383">
  <si>
    <t>KẾ HOẠCH KHẢO SÁT TỐI GIẢN · ĐẦU VÀO COMPATIBILITY MATRIX</t>
  </si>
  <si>
    <t>Đường nâng cấp: Pacific 16.2.5 → 16.2.15 → Quincy transit (chốt theo deployment mode) → Reef 18.2.7 · Ngày lập: 24/08/2026</t>
  </si>
  <si>
    <t>TỔNG HẠNG MỤC</t>
  </si>
  <si>
    <t>BẮT BUỘC</t>
  </si>
  <si>
    <t>ĐÃ THU THẬP</t>
  </si>
  <si>
    <t>BLOCK</t>
  </si>
  <si>
    <t>UNKNOWN</t>
  </si>
  <si>
    <t>TIẾN ĐỘ</t>
  </si>
  <si>
    <t>1. PHẠM VI GIỮ LẠI — CHỈ NHỮNG FACT CÓ THỂ ĐỔI ĐƯỜNG NÂNG CẤP</t>
  </si>
  <si>
    <t>Nhóm</t>
  </si>
  <si>
    <t>Thông tin giữ lại</t>
  </si>
  <si>
    <t>Ảnh hưởng trực tiếp</t>
  </si>
  <si>
    <t>Đầu ra</t>
  </si>
  <si>
    <t>Baseline</t>
  </si>
  <si>
    <t>Một lần xuất ceph report để lấy identity, health summary, map/release gates và trạng thái tổng quát.</t>
  </si>
  <si>
    <t>Chỉ dùng làm mốc đọc; không tách thành loạt health/quorum/performance check.</t>
  </si>
  <si>
    <t>ceph_report.json</t>
  </si>
  <si>
    <t>Triển khai &amp; nền tảng</t>
  </si>
  <si>
    <t>Deployment mode, daemon nào được quản lý, OS/kernel/arch, container runtime hoặc package repo.</t>
  </si>
  <si>
    <t>Quyết định dùng cephadm hay manual rolling, chọn Quincy transit và loại artifact phù hợp.</t>
  </si>
  <si>
    <t>Deployment/platform fact sheet</t>
  </si>
  <si>
    <t>Storage format &amp; lịch sử</t>
  </si>
  <si>
    <t>BlueStore/FileStore, RocksDB/LevelDB, ceph-volume layout/dmcrypt và lịch sử 16.2.6 quick-fix/repair.</t>
  </si>
  <si>
    <t>FileStore/LevelDB hoặc phơi nhiễm OMAP có thể chặn hop trước Quincy.</t>
  </si>
  <si>
    <t>Storage-format verdict</t>
  </si>
  <si>
    <t>RADOS &amp; cấu hình</t>
  </si>
  <si>
    <t>Release feature gates, config override, pool/EC/CRUSH, autoscaler, upmap-primary và flag đang tồn tại.</t>
  </si>
  <si>
    <t>Có thể làm rolling upgrade đổi hành vi, kéo dài hoặc không thể hoàn tất mixed-version.</t>
  </si>
  <si>
    <t>RADOS compatibility input</t>
  </si>
  <si>
    <t>Dịch vụ</t>
  </si>
  <si>
    <t>Chỉ inventory dịch vụ đang dùng: CephFS/MDS/NFS/Manila, RGW, RBD/iSCSI, mirroring.</t>
  </si>
  <si>
    <t>Mỗi dịch vụ tạo nhánh thủ tục riêng; dịch vụ không dùng đánh N/A, không khảo sát sâu.</t>
  </si>
  <si>
    <t>Service branch list</t>
  </si>
  <si>
    <t>Client &amp; tích hợp</t>
  </si>
  <si>
    <t>Nhóm client critical theo loại/version/kernel và automation/parser phụ thuộc output Ceph.</t>
  </si>
  <si>
    <t>Client cũ có thể giữ min-compat; parser/SDK cũ có thể lỗi sau major hop.</t>
  </si>
  <si>
    <t>Client cohort matrix</t>
  </si>
  <si>
    <t>2. NGUYÊN TẮC RÚT GỌN</t>
  </si>
  <si>
    <t>1</t>
  </si>
  <si>
    <t>Một lần lấy ceph report</t>
  </si>
  <si>
    <t>Không kiểm tra quorum/time-sync/health detail riêng nếu report không phát hiện bất thường ảnh hưởng upgrade.</t>
  </si>
  <si>
    <t>2</t>
  </si>
  <si>
    <t>Theo cohort, không theo từng host</t>
  </si>
  <si>
    <t>OS/kernel/runtime và OSD layout chỉ lấy một mẫu cho mỗi nhóm cấu hình giống nhau; chỉ mở rộng khi có lệch.</t>
  </si>
  <si>
    <t>3</t>
  </si>
  <si>
    <t>Dịch vụ có thì kiểm tra, không có thì N/A</t>
  </si>
  <si>
    <t>Không tạo đầu việc giả định cho RGW/CephFS/NFS/iSCSI/mirroring nếu cluster không cung cấp dịch vụ đó.</t>
  </si>
  <si>
    <t>4</t>
  </si>
  <si>
    <t>Không benchmark hoặc stress</t>
  </si>
  <si>
    <t>Max tải, IOPS/latency 14–30 ngày và recovery test được chuyển sang giai đoạn test/soak, không nằm trong compatibility survey.</t>
  </si>
  <si>
    <t>Chỉ thu thập thông tin có thể tạo compatibility blocker hoặc làm thay đổi cách rolling upgrade. Ô vàng là nơi điền kết quả thực tế.</t>
  </si>
  <si>
    <t>Nguyên tắc: read-only; theo cohort cấu hình; dịch vụ không dùng ghi N/A; ceph report là baseline duy nhất cho health tổng quát.</t>
  </si>
  <si>
    <t>ID</t>
  </si>
  <si>
    <t>Thông tin phải biết</t>
  </si>
  <si>
    <t>Vì sao ảnh hưởng trực tiếp</t>
  </si>
  <si>
    <t>Thu thập tối thiểu</t>
  </si>
  <si>
    <t>Bằng chứng</t>
  </si>
  <si>
    <t>Mức cần thiết</t>
  </si>
  <si>
    <t>Kết quả thực tế</t>
  </si>
  <si>
    <t>Đánh giá</t>
  </si>
  <si>
    <t>Trạng thái</t>
  </si>
  <si>
    <t>Ghi chú</t>
  </si>
  <si>
    <t>CE-01</t>
  </si>
  <si>
    <t>Một bản ceph report tại thời điểm khảo sát</t>
  </si>
  <si>
    <t>Cho một baseline thống nhất về FSID, health summary, map, release gate và daemon state; chỉ mở kiểm tra sâu khi report báo bất thường liên quan upgrade.</t>
  </si>
  <si>
    <t>ceph report -f json-pretty</t>
  </si>
  <si>
    <t>Bắt buộc</t>
  </si>
  <si>
    <t>Chưa thu thập</t>
  </si>
  <si>
    <t>Không tách quorum/health detail thành đầu việc riêng.</t>
  </si>
  <si>
    <t>CE-02</t>
  </si>
  <si>
    <t>Deployment mode và nguồn cấu hình chuẩn: cephadm / package-systemd / ceph-ansible / Rook / mixed</t>
  </si>
  <si>
    <t>Quyết định engine, thứ tự, câu lệnh, cơ chế pause/resume và cách xử lý MDS/NFS trong từng hop.</t>
  </si>
  <si>
    <t>ceph orch status; xác nhận unit/package/automation nếu orch không quản lý</t>
  </si>
  <si>
    <t>deployment_mode.txt + source-of-truth</t>
  </si>
  <si>
    <t>Mixed hoặc unmanaged phải liệt kê rõ daemon nào.</t>
  </si>
  <si>
    <t>CE-03</t>
  </si>
  <si>
    <t>Phân bố version theo daemon, daemon/service đang chạy và scope managed/unmanaged</t>
  </si>
  <si>
    <t>Mixed version tồn tại trước change hoặc daemon bị bỏ ngoài orchestrator có thể làm hop không hoàn tất.</t>
  </si>
  <si>
    <t>ceph versions; ceph orch ps --refresh; ceph orch ls --export (nếu cephadm)</t>
  </si>
  <si>
    <t>daemon_versions.json + service_specs.yaml</t>
  </si>
  <si>
    <t>Không cần kiểm đếm quorum riêng; lấy trạng thái từ report/orch.</t>
  </si>
  <si>
    <t>CE-04</t>
  </si>
  <si>
    <t>Các cohort host theo OS/release, kernel, architecture, container runtime hoặc package repo</t>
  </si>
  <si>
    <t>Target image/package có thể không chạy trên OS/kernel cũ hoặc không có build cho repo/architecture hiện tại.</t>
  </si>
  <si>
    <t>ceph orch host ls --detail; kiểm tra 1 host đại diện mỗi cohort</t>
  </si>
  <si>
    <t>platform_cohorts.xlsx/json</t>
  </si>
  <si>
    <t>Chỉ mở rộng ra từng host khi phát hiện khác cohort.</t>
  </si>
  <si>
    <t>CE-05</t>
  </si>
  <si>
    <t>OSD objectstore, MON/OSD KV backend, ceph-volume mode và dmcrypt/DB-WAL layout theo cohort</t>
  </si>
  <si>
    <t>Quincy loại LevelDB; FileStore không dùng mClock và không được Reef hỗ trợ. LVM/raw/simple/dmcrypt ảnh hưởng activation/redeploy.</t>
  </si>
  <si>
    <t>ceph osd metadata; ceph mon metadata; ceph-volume ... list trên mẫu đại diện</t>
  </si>
  <si>
    <t>storage_backend.json</t>
  </si>
  <si>
    <t>BLOCK nếu còn FileStore/LevelDB hoặc backend không xác định trước Quincy.</t>
  </si>
  <si>
    <t>CE-06</t>
  </si>
  <si>
    <t>Cluster build mới ở 16.2.5 hay nâng từ pre-Pacific; từng chạy 16.2.6; từng bật quick-fix-on-mount hoặc chạy BlueStore repair/quick-fix</t>
  </si>
  <si>
    <t>Phơi nhiễm 16.2.6 + chuyển đổi OMAP/repair có thể cần điều tra integrity riêng trước khi tiếp tục.</t>
  </si>
  <si>
    <t>Ticket/change history + ceph config dump + xác nhận operator</t>
  </si>
  <si>
    <t>upgrade_omap_history.txt</t>
  </si>
  <si>
    <t>Không chạy repair/quick-fix để 'kiểm tra'.</t>
  </si>
  <si>
    <t>CE-07</t>
  </si>
  <si>
    <t>Config override có ảnh hưởng upgrade và feature gates: require_osd_release, require_min_compat_client, msgr, mClock/WPQ, memory autotune, BlueStore/RocksDB, MDS/RGW</t>
  </si>
  <si>
    <t>Override cũ có thể đổi hành vi ở Quincy/Reef; feature gate hoặc min-client giữ lại có thể chặn client/daemon.</t>
  </si>
  <si>
    <t>ceph config dump; ceph osd dump; ceph features</t>
  </si>
  <si>
    <t>upgrade_sensitive_config.json</t>
  </si>
  <si>
    <t>Không review toàn bộ config theo hiệu năng; chỉ lọc khóa ảnh hưởng upgrade.</t>
  </si>
  <si>
    <t>CE-08</t>
  </si>
  <si>
    <t>Pool type/EC profile/application, CRUSH rule/device class/failure domain, autoscaler mode, upmap và pg-upmap-primary</t>
  </si>
  <si>
    <t>Quyết định compatibility pool/EC, cách chia batch theo failure domain; autoscale hoặc upmap-primary giữa mixed versions tạo rủi ro riêng.</t>
  </si>
  <si>
    <t>pool ls detail; EC profiles; CRUSH tree/rule dump; osd dump</t>
  </si>
  <si>
    <t>rados_layout.json</t>
  </si>
  <si>
    <t>Không đánh giá capacity/max-load; chỉ giữ cấu trúc và feature.</t>
  </si>
  <si>
    <t>CE-09</t>
  </si>
  <si>
    <t>Flag hoặc tác vụ điều phối đang tồn tại: noout/norebalance/nobackfill/noscrub, maintenance, upgrade status</t>
  </si>
  <si>
    <t>Flag bị quên hoặc upgrade đang dang dở có thể làm rolling update dừng hoặc khiến đánh giá sau hop sai.</t>
  </si>
  <si>
    <t>Dùng ceph report/osd dump và ceph orch upgrade status; không tạo thêm health sweep</t>
  </si>
  <si>
    <t>current_flags.txt</t>
  </si>
  <si>
    <t>Chỉ ghi nhận; xử lý nằm trong runbook/change window.</t>
  </si>
  <si>
    <t>CE-10</t>
  </si>
  <si>
    <t>Nếu có CephFS/MDS/NFS/Manila: số filesystem, max_mds, standby-replay, mirror, NFS management và lịch sử Manila native CephFS</t>
  </si>
  <si>
    <t>Cephadm có thể giảm max_mds/fail filesystem; non-cephadm và Pacific 16.2.5 cần nhánh MDS riêng. Manila cũ có thể cần audit caps.</t>
  </si>
  <si>
    <t>ceph fs dump/status; ceph nfs cluster ls/info; service specs</t>
  </si>
  <si>
    <t>cephfs_nfs_fact.json</t>
  </si>
  <si>
    <t>Có điều kiện</t>
  </si>
  <si>
    <t>Chỉ thực hiện nếu dịch vụ tồn tại; sau xác nhận không dùng thì đánh N/A.</t>
  </si>
  <si>
    <t>CE-11</t>
  </si>
  <si>
    <t>Nếu có RGW: realm/zonegroup/zone, multisite, pubsub/notifications, SSE/compression, ingress/front-end</t>
  </si>
  <si>
    <t>Reef thay đổi notification/topic format; multisite và feature mã hóa/nén cần phối hợp toàn zone.</t>
  </si>
  <si>
    <t>radosgw-admin realm/zonegroup/zone list; sync status; service specs</t>
  </si>
  <si>
    <t>rgw_fact.json</t>
  </si>
  <si>
    <t>Không xuất secret/access key; sau xác nhận không dùng thì đánh N/A.</t>
  </si>
  <si>
    <t>CE-12</t>
  </si>
  <si>
    <t>Nếu có RBD/iSCSI/mirroring/OpenStack: pool/namespace, image feature cohort, mirror mode, gateway và đường Cinder/Glance/Nova</t>
  </si>
  <si>
    <t>RBD feature và client stack quyết định khả năng đọc/ghi trong mixed version; gateway/mirror là daemon có thứ tự nâng riêng.</t>
  </si>
  <si>
    <t>rbd pool/mirror summary + ceph orch service specs + cấu hình backend OpenStack đã redacted</t>
  </si>
  <si>
    <t>rbd_gateway_fact.json</t>
  </si>
  <si>
    <t>Không cần liệt kê từng image nếu feature cohort giống nhau.</t>
  </si>
  <si>
    <t>CE-13</t>
  </si>
  <si>
    <t>Cohort client critical: ceph-common/librados/librbd, kernel RBD/CephFS, qemu/libvirt, CSI/Rook, S3 SDK, NFS client</t>
  </si>
  <si>
    <t>Client cũ có thể không hỗ trợ feature/min-compat mới; phải biết nhóm nào cần giữ hoạt động xuyên suốt từng hop.</t>
  </si>
  <si>
    <t>CMDB/package inventory theo cohort + owner + data path; đối chiếu active clients nếu có</t>
  </si>
  <si>
    <t>critical_client_matrix.xlsx</t>
  </si>
  <si>
    <t>Không inventory mọi máy; chỉ data path business critical.</t>
  </si>
  <si>
    <t>CE-14</t>
  </si>
  <si>
    <t>Nguồn image/package chính xác cho 16.2.15, Quincy transit và 18.2.7; registry/repo/proxy/air-gap; automation hoặc parser phụ thuộc output Ceph</t>
  </si>
  <si>
    <t>Không pull/install được artifact là hard blocker; parser/automation cũ có thể lỗi do output/schema thay đổi qua release.</t>
  </si>
  <si>
    <t>Manifest/digest hoặc repo metadata read-only + danh sách script/dashboard/API consumer</t>
  </si>
  <si>
    <t>artifact_and_automation.txt</t>
  </si>
  <si>
    <t>Pin digest/version; không dùng floating tag.</t>
  </si>
  <si>
    <t>Chỉ điền fact đã xác minh. Nếu chưa có evidence, giữ UNKNOWN; không suy diễn từ tên host, version label hoặc HEALTH_OK.</t>
  </si>
  <si>
    <t>#</t>
  </si>
  <si>
    <t>Trường đầu vào</t>
  </si>
  <si>
    <t>Nội dung cần chốt</t>
  </si>
  <si>
    <t>Kết quả hiện tại</t>
  </si>
  <si>
    <t>Evidence</t>
  </si>
  <si>
    <t>Hop ảnh hưởng</t>
  </si>
  <si>
    <t>Quy tắc đánh giá</t>
  </si>
  <si>
    <t>Kết luận</t>
  </si>
  <si>
    <t>Deployment mode</t>
  </si>
  <si>
    <t>cephadm / package-systemd / ceph-ansible / Rook / mixed; source-of-truth</t>
  </si>
  <si>
    <t>Tất cả</t>
  </si>
  <si>
    <t>UNKNOWN hoặc mixed chưa phân ranh quản lý ⇒ BLOCK lập runbook</t>
  </si>
  <si>
    <t>Managed scope</t>
  </si>
  <si>
    <t>Daemon/service nào managed và unmanaged</t>
  </si>
  <si>
    <t>Mỗi daemon phải có cơ chế nâng cụ thể</t>
  </si>
  <si>
    <t>Version distribution</t>
  </si>
  <si>
    <t>Version thực tế theo MON/MGR/OSD/MDS/RGW/gateway</t>
  </si>
  <si>
    <t>Mixed version có sẵn phải được giải thích trước change</t>
  </si>
  <si>
    <t>Host platform cohorts</t>
  </si>
  <si>
    <t>OS/release, kernel, architecture, runtime/repo theo cohort</t>
  </si>
  <si>
    <t>Quincy + Reef</t>
  </si>
  <si>
    <t>Target artifact phải chạy được trên mọi cohort</t>
  </si>
  <si>
    <t>Artifact delivery</t>
  </si>
  <si>
    <t>Container image digest hoặc package repo cho từng hop</t>
  </si>
  <si>
    <t>Không pull/install được artifact trên một cohort ⇒ BLOCK</t>
  </si>
  <si>
    <t>OSD objectstore</t>
  </si>
  <si>
    <t>Tỷ lệ BlueStore/FileStore</t>
  </si>
  <si>
    <t>Trước Quincy</t>
  </si>
  <si>
    <t>Còn FileStore hoặc chưa xác định ⇒ BLOCK</t>
  </si>
  <si>
    <t>KV backend</t>
  </si>
  <si>
    <t>MON/OSD metadata backend RocksDB/LevelDB</t>
  </si>
  <si>
    <t>Còn LevelDB hoặc chưa xác định ⇒ BLOCK</t>
  </si>
  <si>
    <t>OSD provisioning</t>
  </si>
  <si>
    <t>ceph-volume LVM/raw/simple; dmcrypt; DB/WAL cohort</t>
  </si>
  <si>
    <t>Phải có activation/restart method tương ứng trong runbook</t>
  </si>
  <si>
    <t>Cluster origin</t>
  </si>
  <si>
    <t>Build mới ở 16.2.5 hay nâng từ pre-Pacific</t>
  </si>
  <si>
    <t>Trước 16.2.15</t>
  </si>
  <si>
    <t>Nếu pre-Pacific, bắt buộc chốt OMAP exposure</t>
  </si>
  <si>
    <t>OMAP exposure</t>
  </si>
  <si>
    <t>16.2.6 + quick-fix-on-mount hoặc BlueStore repair/quick-fix history</t>
  </si>
  <si>
    <t>Có exposure đáng ngờ ⇒ BLOCK và mở integrity investigation</t>
  </si>
  <si>
    <t>require_osd_release</t>
  </si>
  <si>
    <t>Giá trị hiện tại và thời điểm sẽ nâng gate</t>
  </si>
  <si>
    <t>Mỗi major hop</t>
  </si>
  <si>
    <t>Chỉ nâng gate sau khi toàn bộ OSD đạt target</t>
  </si>
  <si>
    <t>min compatible client</t>
  </si>
  <si>
    <t>require_min_compat_client và client feature hiện tại</t>
  </si>
  <si>
    <t>Không nâng min-compat khi còn client critical cũ</t>
  </si>
  <si>
    <t>Upgrade-sensitive overrides</t>
  </si>
  <si>
    <t>mClock/WPQ, memory autotune, BlueStore/RocksDB, MDS/RGW, cephadm overrides</t>
  </si>
  <si>
    <t>Mỗi override khác default phải có quyết định giữ/đổi</t>
  </si>
  <si>
    <t>Pool / EC summary</t>
  </si>
  <si>
    <t>Replicated/EC, plugin/profile, application tag, size/min_size</t>
  </si>
  <si>
    <t>Profile/application unknown ⇒ WARN/BLOCK tùy data path</t>
  </si>
  <si>
    <t>CRUSH / failure domain</t>
  </si>
  <si>
    <t>Rule, device class, failure domain và batch boundary</t>
  </si>
  <si>
    <t>Không đổi topology trong cùng OSD upgrade; batch không vượt failure domain</t>
  </si>
  <si>
    <t>Autoscaler / map exceptions</t>
  </si>
  <si>
    <t>Pool autoscaler modes, upmap và pg-upmap-primary</t>
  </si>
  <si>
    <t>Tất cả + Reef</t>
  </si>
  <si>
    <t>Freeze autoscale khi nâng; pg-upmap-primary cần xử lý trước mixed Reef</t>
  </si>
  <si>
    <t>Existing flags/state</t>
  </si>
  <si>
    <t>noout/norebalance/nobackfill/noscrub, maintenance, active upgrade</t>
  </si>
  <si>
    <t>Trước mỗi hop</t>
  </si>
  <si>
    <t>Flag/state tồn tại phải được giải thích và có bước restore</t>
  </si>
  <si>
    <t>CephFS/MDS/NFS/Manila</t>
  </si>
  <si>
    <t>max_mds, standby-replay, mirror, NFS manager, Manila history</t>
  </si>
  <si>
    <t>Nếu không dùng ⇒ N/A; nếu dùng ⇒ chọn cephadm/non-cephadm MDS branch</t>
  </si>
  <si>
    <t>RGW</t>
  </si>
  <si>
    <t>Realm/zonegroup/zone, multisite, notifications/pubsub, SSE/compression, ingress</t>
  </si>
  <si>
    <t>Nếu multisite ⇒ phối hợp thứ tự toàn zone; feature mới chỉ bật sau all-Reef</t>
  </si>
  <si>
    <t>RBD/iSCSI/mirroring</t>
  </si>
  <si>
    <t>Pool/namespace, image feature cohort, mirror/gateway/OpenStack backends</t>
  </si>
  <si>
    <t>Mỗi data path đang dùng phải có client test và daemon order</t>
  </si>
  <si>
    <t>Critical client cohorts</t>
  </si>
  <si>
    <t>Client type/version/kernel/library/SDK + owner + business data path</t>
  </si>
  <si>
    <t>Mọi client critical phải được phân loại cho từng hop</t>
  </si>
  <si>
    <t>Automation/parsers</t>
  </si>
  <si>
    <t>Script/API/dashboard parse output Ceph hoặc gọi command deprecated</t>
  </si>
  <si>
    <t>Có dependency ⇒ regression test parser/command</t>
  </si>
  <si>
    <t>ceph report summary</t>
  </si>
  <si>
    <t>Chỉ các warning/state ảnh hưởng trực tiếp tới upgrade</t>
  </si>
  <si>
    <t>Không có down/recovering/critical state chưa xử lý</t>
  </si>
  <si>
    <t>Readiness summary</t>
  </si>
  <si>
    <t>Ready / Conditional / Not ready + blocker owner/action</t>
  </si>
  <si>
    <t>Hand-off</t>
  </si>
  <si>
    <t>Không còn BLOCK/UNKNOWN ở trường bắt buộc</t>
  </si>
  <si>
    <t>GÓI LỆNH READ-ONLY, HẠNG MỤC ĐÃ LOẠI VÀ NGUỒN</t>
  </si>
  <si>
    <t>Lệnh là gợi ý tối thiểu; điều chỉnh cú pháp theo deployment mode. Không ghi secret vào evidence và tuyệt đối không chạy BlueStore repair/quick-fix để khảo sát.</t>
  </si>
  <si>
    <t>A. GÓI THU THẬP TỐI THIỂU</t>
  </si>
  <si>
    <t>Gói</t>
  </si>
  <si>
    <t>Mục tiêu</t>
  </si>
  <si>
    <t>Lệnh / nguồn</t>
  </si>
  <si>
    <t>Phạm vi</t>
  </si>
  <si>
    <t>Lưu ý</t>
  </si>
  <si>
    <t>PKG-01</t>
  </si>
  <si>
    <t>Baseline duy nhất</t>
  </si>
  <si>
    <t>ceph report -f json-pretty &gt; ceph_report.json</t>
  </si>
  <si>
    <t>1 lần/cluster</t>
  </si>
  <si>
    <t>Không lặp health detail/quorum nếu report không chỉ ra vấn đề.</t>
  </si>
  <si>
    <t>PKG-02</t>
  </si>
  <si>
    <t>Deployment + daemon</t>
  </si>
  <si>
    <t>ceph orch status -f json-pretty
ceph versions -f json-pretty
ceph orch ps --refresh -f json-pretty
ceph orch ls --export</t>
  </si>
  <si>
    <t>Cluster; lệnh orch khi có cephadm</t>
  </si>
  <si>
    <t>Nếu orch không quản lý, lấy systemd/package inventory theo automation hiện hữu.</t>
  </si>
  <si>
    <t>PKG-03</t>
  </si>
  <si>
    <t>Platform cohorts</t>
  </si>
  <si>
    <t>ceph orch host ls --detail -f json-pretty
cat /etc/os-release; uname -r; uname -m
podman version || docker version; cephadm version</t>
  </si>
  <si>
    <t>1 host đại diện/cohort</t>
  </si>
  <si>
    <t>Không cần audit từng host nếu cohort đồng nhất.</t>
  </si>
  <si>
    <t>PKG-04</t>
  </si>
  <si>
    <t>Storage backend</t>
  </si>
  <si>
    <t>ceph osd metadata -f json-pretty
ceph mon metadata -f json-pretty
ceph-volume lvm list --format json (hoặc raw/simple tương ứng)</t>
  </si>
  <si>
    <t>Cluster + mẫu mỗi OSD layout</t>
  </si>
  <si>
    <t>Chỉ đọc; không chạy ceph-bluestore-tool repair/quick-fix.</t>
  </si>
  <si>
    <t>PKG-05</t>
  </si>
  <si>
    <t>Config + release gates</t>
  </si>
  <si>
    <t>ceph config dump -f json-pretty
ceph osd dump -f json-pretty
ceph features
ceph orch upgrade status</t>
  </si>
  <si>
    <t>Cluster</t>
  </si>
  <si>
    <t>Phân tích các khóa ảnh hưởng upgrade; không tuning trong khảo sát.</t>
  </si>
  <si>
    <t>PKG-06</t>
  </si>
  <si>
    <t>Pool / EC / CRUSH</t>
  </si>
  <si>
    <t>ceph osd pool ls detail -f json-pretty
ceph osd erasure-code-profile ls/get &lt;profile&gt;
ceph osd crush tree -f json-pretty
ceph osd crush rule dump -f json-pretty</t>
  </si>
  <si>
    <t>Không thu max-load/capacity forecast; osd dump đã chứa map exceptions.</t>
  </si>
  <si>
    <t>PKG-07</t>
  </si>
  <si>
    <t>CephFS/NFS</t>
  </si>
  <si>
    <t>ceph fs dump -f json-pretty
ceph fs status -f json-pretty
ceph nfs cluster ls / info &lt;cluster_id&gt;</t>
  </si>
  <si>
    <t>Chỉ khi dịch vụ có</t>
  </si>
  <si>
    <t>Không có dịch vụ thì đánh N/A.</t>
  </si>
  <si>
    <t>PKG-08</t>
  </si>
  <si>
    <t>RGW/RBD/gateway</t>
  </si>
  <si>
    <t>radosgw-admin realm/zonegroup/zone list; sync status
rbd mirror pool status &lt;pool&gt;
ceph mgr services; ceph mgr module ls</t>
  </si>
  <si>
    <t>Chỉ theo dịch vụ có</t>
  </si>
  <si>
    <t>Không export realm/zone secret hoặc cephx key.</t>
  </si>
  <si>
    <t>PKG-09</t>
  </si>
  <si>
    <t>Client cohorts</t>
  </si>
  <si>
    <t>CMDB/package inventory; OpenStack/K8s/backend config đã redacted; gom theo client type/version/kernel/data path</t>
  </si>
  <si>
    <t>Chỉ business-critical</t>
  </si>
  <si>
    <t>Không liệt kê từng VM/client nếu cùng cohort.</t>
  </si>
  <si>
    <t>PKG-10</t>
  </si>
  <si>
    <t>Artifact path</t>
  </si>
  <si>
    <t>Manifest/digest hoặc repo metadata cho 16.2.15, Quincy transit và 18.2.7; thử inspect/pull tại admin node theo change policy</t>
  </si>
  <si>
    <t>Mỗi platform cohort</t>
  </si>
  <si>
    <t>Pin digest/version; xác nhận proxy/registry/repo trước CAB.</t>
  </si>
  <si>
    <t>B. ĐÃ LOẠI KHỎI KHẢO SÁT MẶC ĐỊNH</t>
  </si>
  <si>
    <t>Hạng mục</t>
  </si>
  <si>
    <t>Xử lý</t>
  </si>
  <si>
    <t>Lý do</t>
  </si>
  <si>
    <t>Chỉ mở lại khi</t>
  </si>
  <si>
    <t>Giai đoạn phù hợp</t>
  </si>
  <si>
    <t>Kiểm quorum riêng</t>
  </si>
  <si>
    <t>Loại</t>
  </si>
  <si>
    <t>Cluster đang chạy; ceph report đã có quorum/state tổng quát.</t>
  </si>
  <si>
    <t>Report có MON down, quorum thiếu hoặc time skew.</t>
  </si>
  <si>
    <t>Remediation trước upgrade</t>
  </si>
  <si>
    <t>Health detail lặp nhiều lệnh</t>
  </si>
  <si>
    <t>Không tạo thêm giá trị compatibility nếu report sạch.</t>
  </si>
  <si>
    <t>Report có PG/OSD/crash/health warning liên quan upgrade.</t>
  </si>
  <si>
    <t>Remediation</t>
  </si>
  <si>
    <t>Max tải / stress / production benchmark</t>
  </si>
  <si>
    <t>Không quyết định compatibility và có rủi ro tạo tải.</t>
  </si>
  <si>
    <t>Có test plan/change window riêng được phê duyệt.</t>
  </si>
  <si>
    <t>Lab/canary/soak</t>
  </si>
  <si>
    <t>Baseline IOPS/latency 14–30 ngày</t>
  </si>
  <si>
    <t>Chuyển giai đoạn</t>
  </si>
  <si>
    <t>Dùng để chứng minh hiệu năng, không phải đầu vào để biết có nâng được hay không.</t>
  </si>
  <si>
    <t>Cần tiêu chí so sánh trước/sau.</t>
  </si>
  <si>
    <t>Validation/soak</t>
  </si>
  <si>
    <t>Capacity forecast/headroom chi tiết</t>
  </si>
  <si>
    <t>Không cần cho matrix; chỉ đọc full/nearfull state từ report.</t>
  </si>
  <si>
    <t>Report báo nearfull/backfillfull/full hoặc change dự kiến rebalance lớn.</t>
  </si>
  <si>
    <t>Remediation/planning</t>
  </si>
  <si>
    <t>CPU/RAM/swap từng host</t>
  </si>
  <si>
    <t>Thu hẹp</t>
  </si>
  <si>
    <t>Chỉ cần cohort và trường hợp hyperconverged/memory autotune.</t>
  </si>
  <si>
    <t>Host khác cohort, OOM/swap warning hoặc colocated workload.</t>
  </si>
  <si>
    <t>Platform remediation</t>
  </si>
  <si>
    <t>SMART/media/disk benchmark sâu</t>
  </si>
  <si>
    <t>Là health phần cứng, không phải format compatibility mặc định.</t>
  </si>
  <si>
    <t>Report/log có OSD I/O error, crash hoặc device warning.</t>
  </si>
  <si>
    <t>Hardware remediation</t>
  </si>
  <si>
    <t>MTU/VLAN/route/DNS/NTP/firewall audit</t>
  </si>
  <si>
    <t>Không audit toàn mạng nếu data path hiện hữu đang hoạt động.</t>
  </si>
  <si>
    <t>Target registry/repo không truy cập được hoặc thay endpoint/port.</t>
  </si>
  <si>
    <t>Prerequisite/remediation</t>
  </si>
  <si>
    <t>Đối soát rack/PDU/CMDB vật lý đầy đủ</t>
  </si>
  <si>
    <t>Matrix chỉ cần CRUSH failure domain và placement để chia batch.</t>
  </si>
  <si>
    <t>CRUSH không phản ánh failure domain thực hoặc định thay topology.</t>
  </si>
  <si>
    <t>Thiết kế hạ tầng</t>
  </si>
  <si>
    <t>Incident history 6–12 tháng</t>
  </si>
  <si>
    <t>Chỉ giữ lineage nâng cấp và 16.2.6 quick-fix/repair exposure.</t>
  </si>
  <si>
    <t>Report cho thấy lỗi lặp cần root-cause.</t>
  </si>
  <si>
    <t>Problem management</t>
  </si>
  <si>
    <t>Security/CephX audit toàn cụm</t>
  </si>
  <si>
    <t>Không phải compatibility survey mặc định.</t>
  </si>
  <si>
    <t>Có Manila native CephFS và lịch sử nâng từ Nautilus/cũ hơn.</t>
  </si>
  <si>
    <t>Security remediation</t>
  </si>
  <si>
    <t>C. NGUỒN THAM CHIẾU</t>
  </si>
  <si>
    <t>Tiêu đề</t>
  </si>
  <si>
    <t>URL / file</t>
  </si>
  <si>
    <t>Dùng để</t>
  </si>
  <si>
    <t>SRC-01</t>
  </si>
  <si>
    <t>File đầu vào</t>
  </si>
  <si>
    <t>Kế hoạch khảo sát As-Is hiện tại</t>
  </si>
  <si>
    <t>Ke_hoach_khao_sat_As-Is_Ceph(2).xlsx</t>
  </si>
  <si>
    <t>Đối chiếu và loại các hạng mục vận hành rườm rà</t>
  </si>
  <si>
    <t>SRC-02</t>
  </si>
  <si>
    <t>So sánh version và đường nâng cấp</t>
  </si>
  <si>
    <t>version_comparison(3).xlsx</t>
  </si>
  <si>
    <t>Giữ mục tiêu 16.2.15 → Quincy transit → 18.2.7</t>
  </si>
  <si>
    <t>SRC-03</t>
  </si>
  <si>
    <t>Ceph official</t>
  </si>
  <si>
    <t>Pacific release notes — v16.2.7 OMAP fix</t>
  </si>
  <si>
    <t>https://docs.ceph.com/en/pacific/releases/pacific/#v16-2-7-pacific</t>
  </si>
  <si>
    <t>Lịch sử 16.2.6 + quick-fix/repair</t>
  </si>
  <si>
    <t>SRC-04</t>
  </si>
  <si>
    <t>Quincy — upgrading from Octopus or Pacific</t>
  </si>
  <si>
    <t>https://docs.ceph.com/en/quincy/releases/quincy/#upgrading-from-octopus-or-pacific</t>
  </si>
  <si>
    <t>LevelDB/FileStore, mClock, memory autotune, autoscaler</t>
  </si>
  <si>
    <t>SRC-05</t>
  </si>
  <si>
    <t>Reef — upgrading from Pacific or Quincy</t>
  </si>
  <si>
    <t>https://docs.ceph.com/en/reef/releases/reef/#upgrading-from-pacific-or-quincy</t>
  </si>
  <si>
    <t>Deployment branch, MDS handling, release gate</t>
  </si>
  <si>
    <t>SRC-06</t>
  </si>
  <si>
    <t>Reef cephadm upgrade</t>
  </si>
  <si>
    <t>https://docs.ceph.com/en/reef/cephadm/upgrade/</t>
  </si>
  <si>
    <t>Cephadm precheck, artifact pull, upgrade order and pause</t>
  </si>
  <si>
    <t>SRC-07</t>
  </si>
  <si>
    <t>Reef release notes</t>
  </si>
  <si>
    <t>https://docs.ceph.com/en/reef/releases/reef/</t>
  </si>
  <si>
    <t>RGW multisite/notifications và pg-upmap-primary cautions</t>
  </si>
  <si>
    <t>KẾ HOẠCH KHẢO SÁT</t>
  </si>
  <si>
    <t>MẪU KẾT QUẢ AS-IS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</si>
</sst>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5"/>
      <color rgb="FFFFFFFF"/>
      <name val="Carlito"/>
    </font>
    <font>
      <i/>
      <sz val="10"/>
      <color rgb="FF5F6B7A"/>
      <name val="Carlito"/>
    </font>
    <font>
      <b/>
      <sz val="10"/>
      <color rgb="FF17365D"/>
      <name val="Carlito"/>
    </font>
    <font>
      <b/>
      <sz val="15"/>
      <color rgb="FF2F68D8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color rgb="FF243447"/>
      <name val="Carlito"/>
    </font>
    <font>
      <b/>
      <sz val="11"/>
      <color rgb="FF0F766E"/>
      <name val="Carlito"/>
    </font>
    <font>
      <sz val="11"/>
      <color rgb="FF243447"/>
      <name val="Carlito"/>
    </font>
    <font>
      <sz val="9"/>
      <color rgb="FF243447"/>
      <name val="Carlito"/>
    </font>
    <font>
      <b/>
      <sz val="9"/>
      <color rgb="FF2F68D8"/>
      <name val="Carlito"/>
    </font>
    <font>
      <b/>
      <sz val="9"/>
      <color rgb="FF0F766E"/>
      <name val="Carlito"/>
    </font>
    <font>
      <b/>
      <sz val="9"/>
      <color rgb="FF7A4A00"/>
      <name val="Carlito"/>
    </font>
    <font>
      <sz val="9"/>
      <color rgb="FF2F68D8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6F8"/>
      </patternFill>
    </fill>
    <fill>
      <patternFill patternType="solid">
        <fgColor rgb="FFEAF2FD"/>
      </patternFill>
    </fill>
    <fill>
      <patternFill patternType="solid">
        <fgColor rgb="FFFFFFFF"/>
      </patternFill>
    </fill>
    <fill>
      <patternFill patternType="solid">
        <fgColor rgb="FF2F68D8"/>
      </patternFill>
    </fill>
    <fill>
      <patternFill patternType="solid">
        <fgColor rgb="FF0F766E"/>
      </patternFill>
    </fill>
    <fill>
      <patternFill patternType="solid">
        <fgColor rgb="FFE5F5F2"/>
      </patternFill>
    </fill>
    <fill>
      <patternFill patternType="solid">
        <fgColor rgb="FF6D43C5"/>
      </patternFill>
    </fill>
    <fill>
      <patternFill patternType="solid">
        <fgColor rgb="FFF1ECFB"/>
      </patternFill>
    </fill>
    <fill>
      <patternFill patternType="solid">
        <fgColor rgb="FFFFF4CE"/>
      </patternFill>
    </fill>
    <fill>
      <patternFill patternType="solid">
        <fgColor rgb="FFFFF7D6"/>
      </patternFill>
    </fill>
    <fill>
      <patternFill patternType="solid">
        <fgColor rgb="FFF59E0B"/>
      </patternFill>
    </fill>
  </fills>
  <borders count="7">
    <border>
      <left/>
      <right/>
      <top/>
      <bottom/>
      <diagonal/>
    </border>
    <border>
      <left style="thin">
        <color rgb="FFD7DFEA"/>
      </left>
      <right/>
      <top style="thin">
        <color rgb="FFD7DFEA"/>
      </top>
      <bottom style="thin">
        <color rgb="FFD7DFEA"/>
      </bottom>
      <diagonal/>
    </border>
    <border>
      <left/>
      <right style="thin">
        <color rgb="FFD7DFEA"/>
      </right>
      <top style="thin">
        <color rgb="FFD7DFEA"/>
      </top>
      <bottom style="thin">
        <color rgb="FFD7DFEA"/>
      </bottom>
      <diagonal/>
    </border>
    <border>
      <left/>
      <right/>
      <top style="thin">
        <color rgb="FFD7DFEA"/>
      </top>
      <bottom style="thin">
        <color rgb="FFD7DFEA"/>
      </bottom>
      <diagonal/>
    </border>
    <border>
      <left style="thin">
        <color rgb="FFD7DFEA"/>
      </left>
      <right style="thin">
        <color rgb="FFD7DFEA"/>
      </right>
      <top style="thin">
        <color rgb="FFD7DFEA"/>
      </top>
      <bottom style="thin">
        <color rgb="FFD7DFEA"/>
      </bottom>
      <diagonal/>
    </border>
    <border>
      <left/>
      <right/>
      <top/>
      <bottom style="thin">
        <color rgb="FFD7DFEA"/>
      </bottom>
      <diagonal/>
    </border>
    <border>
      <left/>
      <right/>
      <top style="thin">
        <color rgb="FFD7DFEA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6" borderId="4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top" wrapText="1"/>
    </xf>
    <xf numFmtId="0" fontId="11" fillId="4" borderId="5" xfId="0" applyFont="1" applyFill="1" applyBorder="1" applyAlignment="1">
      <alignment vertical="top" wrapText="1"/>
    </xf>
    <xf numFmtId="0" fontId="10" fillId="12" borderId="5" xfId="0" applyFont="1" applyFill="1" applyBorder="1" applyAlignment="1">
      <alignment vertical="top" wrapText="1"/>
    </xf>
    <xf numFmtId="0" fontId="10" fillId="5" borderId="3" xfId="0" applyFont="1" applyFill="1" applyBorder="1" applyAlignment="1">
      <alignment vertical="top" wrapText="1"/>
    </xf>
    <xf numFmtId="0" fontId="11" fillId="5" borderId="3" xfId="0" applyFont="1" applyFill="1" applyBorder="1" applyAlignment="1">
      <alignment vertical="top" wrapText="1"/>
    </xf>
    <xf numFmtId="0" fontId="10" fillId="12" borderId="3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1" fillId="4" borderId="3" xfId="0" applyFont="1" applyFill="1" applyBorder="1" applyAlignment="1">
      <alignment vertical="top" wrapText="1"/>
    </xf>
    <xf numFmtId="0" fontId="10" fillId="5" borderId="6" xfId="0" applyFont="1" applyFill="1" applyBorder="1" applyAlignment="1">
      <alignment vertical="top" wrapText="1"/>
    </xf>
    <xf numFmtId="0" fontId="11" fillId="5" borderId="6" xfId="0" applyFont="1" applyFill="1" applyBorder="1" applyAlignment="1">
      <alignment vertical="top" wrapText="1"/>
    </xf>
    <xf numFmtId="0" fontId="10" fillId="12" borderId="6" xfId="0" applyFont="1" applyFill="1" applyBorder="1" applyAlignment="1">
      <alignment vertical="top" wrapText="1"/>
    </xf>
    <xf numFmtId="0" fontId="10" fillId="10" borderId="5" xfId="0" applyFont="1" applyFill="1" applyBorder="1" applyAlignment="1">
      <alignment vertical="top" wrapText="1"/>
    </xf>
    <xf numFmtId="0" fontId="10" fillId="10" borderId="5" xfId="0" applyFont="1" applyFill="1" applyBorder="1" applyAlignment="1">
      <alignment horizontal="center" vertical="top" wrapText="1"/>
    </xf>
    <xf numFmtId="0" fontId="10" fillId="5" borderId="3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vertical="top" wrapText="1"/>
    </xf>
    <xf numFmtId="0" fontId="10" fillId="10" borderId="3" xfId="0" applyFont="1" applyFill="1" applyBorder="1" applyAlignment="1">
      <alignment horizontal="center" vertical="top" wrapText="1"/>
    </xf>
    <xf numFmtId="0" fontId="10" fillId="5" borderId="6" xfId="0" applyFont="1" applyFill="1" applyBorder="1" applyAlignment="1">
      <alignment horizontal="center" vertical="top" wrapText="1"/>
    </xf>
    <xf numFmtId="0" fontId="6" fillId="7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vertical="top" wrapText="1"/>
    </xf>
    <xf numFmtId="0" fontId="12" fillId="5" borderId="5" xfId="0" applyFont="1" applyFill="1" applyBorder="1" applyAlignment="1">
      <alignment vertical="top" wrapText="1"/>
    </xf>
    <xf numFmtId="0" fontId="10" fillId="8" borderId="3" xfId="0" applyFont="1" applyFill="1" applyBorder="1" applyAlignment="1">
      <alignment vertical="top" wrapText="1"/>
    </xf>
    <xf numFmtId="0" fontId="12" fillId="8" borderId="3" xfId="0" applyFont="1" applyFill="1" applyBorder="1" applyAlignment="1">
      <alignment vertical="top" wrapText="1"/>
    </xf>
    <xf numFmtId="0" fontId="12" fillId="5" borderId="3" xfId="0" applyFont="1" applyFill="1" applyBorder="1" applyAlignment="1">
      <alignment vertical="top" wrapText="1"/>
    </xf>
    <xf numFmtId="0" fontId="10" fillId="8" borderId="6" xfId="0" applyFont="1" applyFill="1" applyBorder="1" applyAlignment="1">
      <alignment vertical="top" wrapText="1"/>
    </xf>
    <xf numFmtId="0" fontId="12" fillId="8" borderId="6" xfId="0" applyFont="1" applyFill="1" applyBorder="1" applyAlignment="1">
      <alignment vertical="top" wrapText="1"/>
    </xf>
    <xf numFmtId="0" fontId="6" fillId="13" borderId="4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vertical="top" wrapText="1"/>
    </xf>
    <xf numFmtId="0" fontId="13" fillId="11" borderId="5" xfId="0" applyFont="1" applyFill="1" applyBorder="1" applyAlignment="1">
      <alignment vertical="top" wrapText="1"/>
    </xf>
    <xf numFmtId="0" fontId="13" fillId="5" borderId="3" xfId="0" applyFont="1" applyFill="1" applyBorder="1" applyAlignment="1">
      <alignment vertical="top" wrapText="1"/>
    </xf>
    <xf numFmtId="0" fontId="10" fillId="11" borderId="3" xfId="0" applyFont="1" applyFill="1" applyBorder="1" applyAlignment="1">
      <alignment vertical="top" wrapText="1"/>
    </xf>
    <xf numFmtId="0" fontId="13" fillId="11" borderId="3" xfId="0" applyFont="1" applyFill="1" applyBorder="1" applyAlignment="1">
      <alignment vertical="top" wrapText="1"/>
    </xf>
    <xf numFmtId="0" fontId="10" fillId="11" borderId="6" xfId="0" applyFont="1" applyFill="1" applyBorder="1" applyAlignment="1">
      <alignment vertical="top" wrapText="1"/>
    </xf>
    <xf numFmtId="0" fontId="13" fillId="11" borderId="6" xfId="0" applyFont="1" applyFill="1" applyBorder="1" applyAlignment="1">
      <alignment vertical="top" wrapText="1"/>
    </xf>
    <xf numFmtId="0" fontId="14" fillId="10" borderId="5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4" fillId="10" borderId="3" xfId="0" applyFont="1" applyFill="1" applyBorder="1" applyAlignment="1">
      <alignment vertical="top" wrapText="1"/>
    </xf>
    <xf numFmtId="0" fontId="10" fillId="10" borderId="6" xfId="0" applyFont="1" applyFill="1" applyBorder="1" applyAlignment="1">
      <alignment vertical="top" wrapText="1"/>
    </xf>
    <xf numFmtId="0" fontId="14" fillId="10" borderId="6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6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5" fillId="7" borderId="0" xfId="0" applyFont="1" applyFill="1" applyAlignment="1">
      <alignment vertical="center"/>
    </xf>
    <xf numFmtId="0" fontId="8" fillId="8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5" fillId="9" borderId="0" xfId="0" applyFont="1" applyFill="1" applyAlignment="1">
      <alignment vertical="center"/>
    </xf>
    <xf numFmtId="0" fontId="5" fillId="13" borderId="0" xfId="0" applyFont="1" applyFill="1" applyAlignment="1">
      <alignment vertical="center"/>
    </xf>
  </cellXfs>
  <cellStyles count="1">
    <cellStyle name="Normal" xfId="0" builtinId="0"/>
  </cellStyles>
  <dxfs count="12">
    <dxf>
      <font>
        <color rgb="FF5F6B7A"/>
      </font>
      <fill>
        <patternFill patternType="solid">
          <bgColor rgb="FFF4F6F8"/>
        </patternFill>
      </fill>
    </dxf>
    <dxf>
      <font>
        <b/>
        <color rgb="FF17365D"/>
      </font>
      <fill>
        <patternFill patternType="solid">
          <bgColor rgb="FFEAF2FD"/>
        </patternFill>
      </fill>
    </dxf>
    <dxf>
      <font>
        <b/>
        <color rgb="FFB42318"/>
      </font>
      <fill>
        <patternFill patternType="solid">
          <bgColor rgb="FFFEE4E2"/>
        </patternFill>
      </fill>
    </dxf>
    <dxf>
      <font>
        <b/>
        <color rgb="FF7A4A00"/>
      </font>
      <fill>
        <patternFill patternType="solid">
          <bgColor rgb="FFFFF4CE"/>
        </patternFill>
      </fill>
    </dxf>
    <dxf>
      <font>
        <b/>
        <color rgb="FF16803A"/>
      </font>
      <fill>
        <patternFill patternType="solid">
          <bgColor rgb="FFDCFCE7"/>
        </patternFill>
      </fill>
    </dxf>
    <dxf>
      <font>
        <b/>
        <color rgb="FFB42318"/>
      </font>
      <fill>
        <patternFill patternType="solid">
          <bgColor rgb="FFFEE4E2"/>
        </patternFill>
      </fill>
    </dxf>
    <dxf>
      <font>
        <b/>
        <color rgb="FF16803A"/>
      </font>
      <fill>
        <patternFill patternType="solid">
          <bgColor rgb="FFDCFCE7"/>
        </patternFill>
      </fill>
    </dxf>
    <dxf>
      <font>
        <color rgb="FF5F6B7A"/>
      </font>
      <fill>
        <patternFill patternType="solid">
          <bgColor rgb="FFF4F6F8"/>
        </patternFill>
      </fill>
    </dxf>
    <dxf>
      <font>
        <b/>
        <color rgb="FF17365D"/>
      </font>
      <fill>
        <patternFill patternType="solid">
          <bgColor rgb="FFEAF2FD"/>
        </patternFill>
      </fill>
    </dxf>
    <dxf>
      <font>
        <b/>
        <color rgb="FFB42318"/>
      </font>
      <fill>
        <patternFill patternType="solid">
          <bgColor rgb="FFFEE4E2"/>
        </patternFill>
      </fill>
    </dxf>
    <dxf>
      <font>
        <b/>
        <color rgb="FF7A4A00"/>
      </font>
      <fill>
        <patternFill patternType="solid">
          <bgColor rgb="FFFFF4CE"/>
        </patternFill>
      </fill>
    </dxf>
    <dxf>
      <font>
        <b/>
        <color rgb="FF16803A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nimalSurveyPlan" displayName="MinimalSurveyPlan" ref="A5:K19" totalsRowShown="0">
  <autoFilter ref="A5:K19" xr:uid="{00000000-0009-0000-0100-000001000000}"/>
  <tableColumns count="11">
    <tableColumn id="1" xr3:uid="{00000000-0010-0000-0000-000001000000}" name="ID"/>
    <tableColumn id="2" xr3:uid="{00000000-0010-0000-0000-000002000000}" name="Nhóm"/>
    <tableColumn id="3" xr3:uid="{00000000-0010-0000-0000-000003000000}" name="Thông tin phải biết"/>
    <tableColumn id="4" xr3:uid="{00000000-0010-0000-0000-000004000000}" name="Vì sao ảnh hưởng trực tiếp"/>
    <tableColumn id="5" xr3:uid="{00000000-0010-0000-0000-000005000000}" name="Thu thập tối thiểu"/>
    <tableColumn id="6" xr3:uid="{00000000-0010-0000-0000-000006000000}" name="Bằng chứng"/>
    <tableColumn id="7" xr3:uid="{00000000-0010-0000-0000-000007000000}" name="Mức cần thiết"/>
    <tableColumn id="10" xr3:uid="{00000000-0010-0000-0000-00000A000000}" name="Kết quả thực tế"/>
    <tableColumn id="11" xr3:uid="{00000000-0010-0000-0000-00000B000000}" name="Đánh giá"/>
    <tableColumn id="12" xr3:uid="{00000000-0010-0000-0000-00000C000000}" name="Trạng thái"/>
    <tableColumn id="13" xr3:uid="{00000000-0010-0000-0000-00000D000000}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IsMatrixInput" displayName="AsIsMatrixInput" ref="A4:H28" totalsRowShown="0">
  <autoFilter ref="A4:H28" xr:uid="{00000000-0009-0000-0100-000002000000}"/>
  <tableColumns count="8">
    <tableColumn id="1" xr3:uid="{00000000-0010-0000-0100-000001000000}" name="#"/>
    <tableColumn id="2" xr3:uid="{00000000-0010-0000-0100-000002000000}" name="Trường đầu vào"/>
    <tableColumn id="3" xr3:uid="{00000000-0010-0000-0100-000003000000}" name="Nội dung cần chốt"/>
    <tableColumn id="4" xr3:uid="{00000000-0010-0000-0100-000004000000}" name="Kết quả hiện tại"/>
    <tableColumn id="5" xr3:uid="{00000000-0010-0000-0100-000005000000}" name="Evidence"/>
    <tableColumn id="6" xr3:uid="{00000000-0010-0000-0100-000006000000}" name="Hop ảnh hưởng"/>
    <tableColumn id="7" xr3:uid="{00000000-0010-0000-0100-000007000000}" name="Quy tắc đánh giá"/>
    <tableColumn id="8" xr3:uid="{00000000-0010-0000-0100-000008000000}" name="Kết luậ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inimalCommandPack" displayName="MinimalCommandPack" ref="A5:E15" totalsRowShown="0">
  <tableColumns count="5">
    <tableColumn id="1" xr3:uid="{00000000-0010-0000-0200-000001000000}" name="Gói"/>
    <tableColumn id="2" xr3:uid="{00000000-0010-0000-0200-000002000000}" name="Mục tiêu"/>
    <tableColumn id="3" xr3:uid="{00000000-0010-0000-0200-000003000000}" name="Lệnh / nguồn"/>
    <tableColumn id="4" xr3:uid="{00000000-0010-0000-0200-000004000000}" name="Phạm vi"/>
    <tableColumn id="5" xr3:uid="{00000000-0010-0000-0200-000005000000}" name="Lưu ý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cludedSurveyItems" displayName="ExcludedSurveyItems" ref="A18:E29" totalsRowShown="0">
  <tableColumns count="5">
    <tableColumn id="1" xr3:uid="{00000000-0010-0000-0300-000001000000}" name="Hạng mục"/>
    <tableColumn id="2" xr3:uid="{00000000-0010-0000-0300-000002000000}" name="Xử lý"/>
    <tableColumn id="3" xr3:uid="{00000000-0010-0000-0300-000003000000}" name="Lý do"/>
    <tableColumn id="4" xr3:uid="{00000000-0010-0000-0300-000004000000}" name="Chỉ mở lại khi"/>
    <tableColumn id="5" xr3:uid="{00000000-0010-0000-0300-000005000000}" name="Giai đoạn phù hợ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rveySources" displayName="SurveySources" ref="A32:E39" totalsRowShown="0">
  <tableColumns count="5">
    <tableColumn id="1" xr3:uid="{00000000-0010-0000-0400-000001000000}" name="ID"/>
    <tableColumn id="2" xr3:uid="{00000000-0010-0000-0400-000002000000}" name="Loại"/>
    <tableColumn id="3" xr3:uid="{00000000-0010-0000-0400-000003000000}" name="Tiêu đề"/>
    <tableColumn id="4" xr3:uid="{00000000-0010-0000-0400-000004000000}" name="URL / file"/>
    <tableColumn id="5" xr3:uid="{00000000-0010-0000-0400-000005000000}" name="Dùng để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showGridLines="0" zoomScale="56" workbookViewId="0">
      <selection activeCell="D23" sqref="D23"/>
    </sheetView>
  </sheetViews>
  <sheetFormatPr defaultRowHeight="13.7"/>
  <cols>
    <col min="1" max="2" width="10.5546875" customWidth="1"/>
    <col min="3" max="13" width="16.6640625" customWidth="1"/>
  </cols>
  <sheetData>
    <row r="1" spans="1:13" ht="30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36" customHeight="1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13" ht="28" customHeight="1">
      <c r="A4" s="44" t="s">
        <v>2</v>
      </c>
      <c r="B4" s="45"/>
      <c r="C4" s="44" t="s">
        <v>3</v>
      </c>
      <c r="D4" s="45"/>
      <c r="E4" s="44" t="s">
        <v>4</v>
      </c>
      <c r="F4" s="45"/>
      <c r="G4" s="44" t="s">
        <v>5</v>
      </c>
      <c r="H4" s="45"/>
      <c r="I4" s="44" t="s">
        <v>6</v>
      </c>
      <c r="J4" s="45"/>
      <c r="K4" s="44" t="s">
        <v>7</v>
      </c>
      <c r="L4" s="48"/>
      <c r="M4" s="45"/>
    </row>
    <row r="5" spans="1:13" ht="28" customHeight="1">
      <c r="A5" s="46">
        <f>COUNTA(plan!$A$6:$A$19)</f>
        <v>14</v>
      </c>
      <c r="B5" s="47"/>
      <c r="C5" s="46">
        <f>COUNTIF(plan!$G$6:$G$19,"Bắt buộc")</f>
        <v>11</v>
      </c>
      <c r="D5" s="47"/>
      <c r="E5" s="46">
        <f>COUNTIF(plan!$J$6:$J$19,"Đã thu thập")</f>
        <v>0</v>
      </c>
      <c r="F5" s="47"/>
      <c r="G5" s="46">
        <f>COUNTIF(plan!$I$6:$I$19,"BLOCK")</f>
        <v>0</v>
      </c>
      <c r="H5" s="47"/>
      <c r="I5" s="46">
        <f>COUNTIF(plan!$I$6:$I$19,"UNKNOWN")</f>
        <v>14</v>
      </c>
      <c r="J5" s="47"/>
      <c r="K5" s="49">
        <f>IFERROR(E5/A5,0)</f>
        <v>0</v>
      </c>
      <c r="L5" s="50"/>
      <c r="M5" s="47"/>
    </row>
    <row r="7" spans="1:13" ht="24" customHeight="1">
      <c r="A7" s="51" t="s">
        <v>8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</row>
    <row r="8" spans="1:13" ht="38" customHeight="1">
      <c r="A8" s="52" t="s">
        <v>9</v>
      </c>
      <c r="B8" s="52" t="s">
        <v>9</v>
      </c>
      <c r="C8" s="52" t="s">
        <v>10</v>
      </c>
      <c r="D8" s="52" t="s">
        <v>10</v>
      </c>
      <c r="E8" s="52" t="s">
        <v>10</v>
      </c>
      <c r="F8" s="52" t="s">
        <v>10</v>
      </c>
      <c r="G8" s="52" t="s">
        <v>11</v>
      </c>
      <c r="H8" s="52" t="s">
        <v>11</v>
      </c>
      <c r="I8" s="52" t="s">
        <v>11</v>
      </c>
      <c r="J8" s="52" t="s">
        <v>11</v>
      </c>
      <c r="K8" s="52" t="s">
        <v>12</v>
      </c>
      <c r="L8" s="52" t="s">
        <v>12</v>
      </c>
      <c r="M8" s="52" t="s">
        <v>12</v>
      </c>
    </row>
    <row r="9" spans="1:13" ht="50" customHeight="1">
      <c r="A9" s="53" t="s">
        <v>13</v>
      </c>
      <c r="B9" s="53" t="s">
        <v>13</v>
      </c>
      <c r="C9" s="54" t="s">
        <v>14</v>
      </c>
      <c r="D9" s="54"/>
      <c r="E9" s="54"/>
      <c r="F9" s="54"/>
      <c r="G9" s="54" t="s">
        <v>15</v>
      </c>
      <c r="H9" s="54"/>
      <c r="I9" s="54"/>
      <c r="J9" s="54"/>
      <c r="K9" s="54" t="s">
        <v>16</v>
      </c>
      <c r="L9" s="54"/>
      <c r="M9" s="54"/>
    </row>
    <row r="10" spans="1:13" ht="50" customHeight="1">
      <c r="A10" s="55" t="s">
        <v>17</v>
      </c>
      <c r="B10" s="55" t="s">
        <v>17</v>
      </c>
      <c r="C10" s="56" t="s">
        <v>18</v>
      </c>
      <c r="D10" s="56"/>
      <c r="E10" s="56"/>
      <c r="F10" s="56"/>
      <c r="G10" s="56" t="s">
        <v>19</v>
      </c>
      <c r="H10" s="56"/>
      <c r="I10" s="56"/>
      <c r="J10" s="56"/>
      <c r="K10" s="56" t="s">
        <v>20</v>
      </c>
      <c r="L10" s="56"/>
      <c r="M10" s="56"/>
    </row>
    <row r="11" spans="1:13" ht="50" customHeight="1">
      <c r="A11" s="57" t="s">
        <v>21</v>
      </c>
      <c r="B11" s="57" t="s">
        <v>21</v>
      </c>
      <c r="C11" s="56" t="s">
        <v>22</v>
      </c>
      <c r="D11" s="56"/>
      <c r="E11" s="56"/>
      <c r="F11" s="56"/>
      <c r="G11" s="56" t="s">
        <v>23</v>
      </c>
      <c r="H11" s="56"/>
      <c r="I11" s="56"/>
      <c r="J11" s="56"/>
      <c r="K11" s="56" t="s">
        <v>24</v>
      </c>
      <c r="L11" s="56"/>
      <c r="M11" s="56"/>
    </row>
    <row r="12" spans="1:13" ht="50" customHeight="1">
      <c r="A12" s="55" t="s">
        <v>25</v>
      </c>
      <c r="B12" s="55" t="s">
        <v>25</v>
      </c>
      <c r="C12" s="56" t="s">
        <v>26</v>
      </c>
      <c r="D12" s="56"/>
      <c r="E12" s="56"/>
      <c r="F12" s="56"/>
      <c r="G12" s="56" t="s">
        <v>27</v>
      </c>
      <c r="H12" s="56"/>
      <c r="I12" s="56"/>
      <c r="J12" s="56"/>
      <c r="K12" s="56" t="s">
        <v>28</v>
      </c>
      <c r="L12" s="56"/>
      <c r="M12" s="56"/>
    </row>
    <row r="13" spans="1:13" ht="50" customHeight="1">
      <c r="A13" s="57" t="s">
        <v>29</v>
      </c>
      <c r="B13" s="57" t="s">
        <v>29</v>
      </c>
      <c r="C13" s="56" t="s">
        <v>30</v>
      </c>
      <c r="D13" s="56"/>
      <c r="E13" s="56"/>
      <c r="F13" s="56"/>
      <c r="G13" s="56" t="s">
        <v>31</v>
      </c>
      <c r="H13" s="56"/>
      <c r="I13" s="56"/>
      <c r="J13" s="56"/>
      <c r="K13" s="56" t="s">
        <v>32</v>
      </c>
      <c r="L13" s="56"/>
      <c r="M13" s="56"/>
    </row>
    <row r="14" spans="1:13" ht="50" customHeight="1">
      <c r="A14" s="55" t="s">
        <v>33</v>
      </c>
      <c r="B14" s="55" t="s">
        <v>33</v>
      </c>
      <c r="C14" s="56" t="s">
        <v>34</v>
      </c>
      <c r="D14" s="56"/>
      <c r="E14" s="56"/>
      <c r="F14" s="56"/>
      <c r="G14" s="56" t="s">
        <v>35</v>
      </c>
      <c r="H14" s="56"/>
      <c r="I14" s="56"/>
      <c r="J14" s="56"/>
      <c r="K14" s="56" t="s">
        <v>36</v>
      </c>
      <c r="L14" s="56"/>
      <c r="M14" s="56"/>
    </row>
    <row r="16" spans="1:13" ht="24" customHeight="1">
      <c r="A16" s="58" t="s">
        <v>37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</row>
    <row r="17" spans="1:13" ht="34" customHeight="1">
      <c r="A17" s="2" t="s">
        <v>38</v>
      </c>
      <c r="B17" s="59" t="s">
        <v>39</v>
      </c>
      <c r="C17" s="59" t="s">
        <v>39</v>
      </c>
      <c r="D17" s="60" t="s">
        <v>40</v>
      </c>
      <c r="E17" s="60" t="s">
        <v>40</v>
      </c>
      <c r="F17" s="60" t="s">
        <v>40</v>
      </c>
      <c r="G17" s="60" t="s">
        <v>40</v>
      </c>
      <c r="H17" s="60" t="s">
        <v>40</v>
      </c>
      <c r="I17" s="60" t="s">
        <v>40</v>
      </c>
      <c r="J17" s="60" t="s">
        <v>40</v>
      </c>
      <c r="K17" s="60" t="s">
        <v>40</v>
      </c>
      <c r="L17" s="60" t="s">
        <v>40</v>
      </c>
      <c r="M17" s="60" t="s">
        <v>40</v>
      </c>
    </row>
    <row r="18" spans="1:13" ht="34" customHeight="1">
      <c r="A18" s="2" t="s">
        <v>41</v>
      </c>
      <c r="B18" s="59" t="s">
        <v>42</v>
      </c>
      <c r="C18" s="59" t="s">
        <v>42</v>
      </c>
      <c r="D18" s="61" t="s">
        <v>43</v>
      </c>
      <c r="E18" s="61" t="s">
        <v>43</v>
      </c>
      <c r="F18" s="61" t="s">
        <v>43</v>
      </c>
      <c r="G18" s="61" t="s">
        <v>43</v>
      </c>
      <c r="H18" s="61" t="s">
        <v>43</v>
      </c>
      <c r="I18" s="61" t="s">
        <v>43</v>
      </c>
      <c r="J18" s="61" t="s">
        <v>43</v>
      </c>
      <c r="K18" s="61" t="s">
        <v>43</v>
      </c>
      <c r="L18" s="61" t="s">
        <v>43</v>
      </c>
      <c r="M18" s="61" t="s">
        <v>43</v>
      </c>
    </row>
    <row r="19" spans="1:13" ht="34" customHeight="1">
      <c r="A19" s="2" t="s">
        <v>44</v>
      </c>
      <c r="B19" s="59" t="s">
        <v>45</v>
      </c>
      <c r="C19" s="59" t="s">
        <v>45</v>
      </c>
      <c r="D19" s="60" t="s">
        <v>46</v>
      </c>
      <c r="E19" s="60" t="s">
        <v>46</v>
      </c>
      <c r="F19" s="60" t="s">
        <v>46</v>
      </c>
      <c r="G19" s="60" t="s">
        <v>46</v>
      </c>
      <c r="H19" s="60" t="s">
        <v>46</v>
      </c>
      <c r="I19" s="60" t="s">
        <v>46</v>
      </c>
      <c r="J19" s="60" t="s">
        <v>46</v>
      </c>
      <c r="K19" s="60" t="s">
        <v>46</v>
      </c>
      <c r="L19" s="60" t="s">
        <v>46</v>
      </c>
      <c r="M19" s="60" t="s">
        <v>46</v>
      </c>
    </row>
    <row r="20" spans="1:13" ht="34" customHeight="1">
      <c r="A20" s="2" t="s">
        <v>47</v>
      </c>
      <c r="B20" s="59" t="s">
        <v>48</v>
      </c>
      <c r="C20" s="59" t="s">
        <v>48</v>
      </c>
      <c r="D20" s="61" t="s">
        <v>49</v>
      </c>
      <c r="E20" s="61" t="s">
        <v>49</v>
      </c>
      <c r="F20" s="61" t="s">
        <v>49</v>
      </c>
      <c r="G20" s="61" t="s">
        <v>49</v>
      </c>
      <c r="H20" s="61" t="s">
        <v>49</v>
      </c>
      <c r="I20" s="61" t="s">
        <v>49</v>
      </c>
      <c r="J20" s="61" t="s">
        <v>49</v>
      </c>
      <c r="K20" s="61" t="s">
        <v>49</v>
      </c>
      <c r="L20" s="61" t="s">
        <v>49</v>
      </c>
      <c r="M20" s="61" t="s">
        <v>49</v>
      </c>
    </row>
  </sheetData>
  <mergeCells count="52">
    <mergeCell ref="B19:C19"/>
    <mergeCell ref="D19:M19"/>
    <mergeCell ref="B20:C20"/>
    <mergeCell ref="D20:M20"/>
    <mergeCell ref="A16:M16"/>
    <mergeCell ref="B17:C17"/>
    <mergeCell ref="D17:M17"/>
    <mergeCell ref="B18:C18"/>
    <mergeCell ref="D18:M18"/>
    <mergeCell ref="A13:B13"/>
    <mergeCell ref="C13:F13"/>
    <mergeCell ref="G13:J13"/>
    <mergeCell ref="K13:M13"/>
    <mergeCell ref="A14:B14"/>
    <mergeCell ref="C14:F14"/>
    <mergeCell ref="G14:J14"/>
    <mergeCell ref="K14:M14"/>
    <mergeCell ref="A11:B11"/>
    <mergeCell ref="C11:F11"/>
    <mergeCell ref="G11:J11"/>
    <mergeCell ref="K11:M11"/>
    <mergeCell ref="A12:B12"/>
    <mergeCell ref="C12:F12"/>
    <mergeCell ref="G12:J12"/>
    <mergeCell ref="K12:M12"/>
    <mergeCell ref="A9:B9"/>
    <mergeCell ref="C9:F9"/>
    <mergeCell ref="G9:J9"/>
    <mergeCell ref="K9:M9"/>
    <mergeCell ref="A10:B10"/>
    <mergeCell ref="C10:F10"/>
    <mergeCell ref="G10:J10"/>
    <mergeCell ref="K10:M10"/>
    <mergeCell ref="A7:M7"/>
    <mergeCell ref="A8:B8"/>
    <mergeCell ref="C8:F8"/>
    <mergeCell ref="G8:J8"/>
    <mergeCell ref="K8:M8"/>
    <mergeCell ref="A1:M1"/>
    <mergeCell ref="A2:M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K4:M4"/>
    <mergeCell ref="K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showGridLines="0" tabSelected="1" topLeftCell="A5" zoomScale="56" zoomScaleNormal="80" workbookViewId="0">
      <selection activeCell="N6" sqref="N6"/>
    </sheetView>
  </sheetViews>
  <sheetFormatPr defaultRowHeight="13.7"/>
  <cols>
    <col min="1" max="1" width="8.33203125" customWidth="1"/>
    <col min="2" max="2" width="16.6640625" customWidth="1"/>
    <col min="3" max="3" width="28.33203125" customWidth="1"/>
    <col min="4" max="4" width="33.33203125" customWidth="1"/>
    <col min="5" max="5" width="40" customWidth="1"/>
    <col min="6" max="6" width="21.109375" customWidth="1"/>
    <col min="7" max="7" width="11.109375" customWidth="1"/>
    <col min="8" max="8" width="24.44140625" customWidth="1"/>
    <col min="9" max="9" width="10" customWidth="1"/>
    <col min="10" max="10" width="12.77734375" customWidth="1"/>
    <col min="11" max="11" width="24.44140625" customWidth="1"/>
  </cols>
  <sheetData>
    <row r="1" spans="1:11" ht="30" customHeight="1">
      <c r="A1" s="42" t="s">
        <v>381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36" customHeight="1">
      <c r="A2" s="43" t="s">
        <v>50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5" customHeight="1">
      <c r="A3" s="59" t="s">
        <v>51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5" spans="1:11" ht="38" customHeight="1">
      <c r="A5" s="1" t="s">
        <v>52</v>
      </c>
      <c r="B5" s="1" t="s">
        <v>9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61</v>
      </c>
    </row>
    <row r="6" spans="1:11" ht="82" customHeight="1">
      <c r="A6" s="5" t="s">
        <v>62</v>
      </c>
      <c r="B6" s="4" t="s">
        <v>13</v>
      </c>
      <c r="C6" s="4" t="s">
        <v>63</v>
      </c>
      <c r="D6" s="4" t="s">
        <v>64</v>
      </c>
      <c r="E6" s="4" t="s">
        <v>65</v>
      </c>
      <c r="F6" s="4" t="s">
        <v>16</v>
      </c>
      <c r="G6" s="4" t="s">
        <v>66</v>
      </c>
      <c r="H6" s="6"/>
      <c r="I6" s="6" t="s">
        <v>6</v>
      </c>
      <c r="J6" s="6" t="s">
        <v>67</v>
      </c>
      <c r="K6" s="4" t="s">
        <v>68</v>
      </c>
    </row>
    <row r="7" spans="1:11" ht="82" customHeight="1">
      <c r="A7" s="8" t="s">
        <v>69</v>
      </c>
      <c r="B7" s="7" t="s">
        <v>17</v>
      </c>
      <c r="C7" s="7" t="s">
        <v>70</v>
      </c>
      <c r="D7" s="7" t="s">
        <v>71</v>
      </c>
      <c r="E7" s="7" t="s">
        <v>72</v>
      </c>
      <c r="F7" s="7" t="s">
        <v>73</v>
      </c>
      <c r="G7" s="7" t="s">
        <v>66</v>
      </c>
      <c r="H7" s="9"/>
      <c r="I7" s="9" t="s">
        <v>6</v>
      </c>
      <c r="J7" s="9" t="s">
        <v>67</v>
      </c>
      <c r="K7" s="7" t="s">
        <v>74</v>
      </c>
    </row>
    <row r="8" spans="1:11" ht="82" customHeight="1">
      <c r="A8" s="11" t="s">
        <v>75</v>
      </c>
      <c r="B8" s="10" t="s">
        <v>17</v>
      </c>
      <c r="C8" s="10" t="s">
        <v>76</v>
      </c>
      <c r="D8" s="10" t="s">
        <v>77</v>
      </c>
      <c r="E8" s="10" t="s">
        <v>78</v>
      </c>
      <c r="F8" s="10" t="s">
        <v>79</v>
      </c>
      <c r="G8" s="10" t="s">
        <v>66</v>
      </c>
      <c r="H8" s="9"/>
      <c r="I8" s="9" t="s">
        <v>6</v>
      </c>
      <c r="J8" s="9" t="s">
        <v>67</v>
      </c>
      <c r="K8" s="10" t="s">
        <v>80</v>
      </c>
    </row>
    <row r="9" spans="1:11" ht="82" customHeight="1">
      <c r="A9" s="8" t="s">
        <v>81</v>
      </c>
      <c r="B9" s="7" t="s">
        <v>17</v>
      </c>
      <c r="C9" s="7" t="s">
        <v>82</v>
      </c>
      <c r="D9" s="7" t="s">
        <v>83</v>
      </c>
      <c r="E9" s="7" t="s">
        <v>84</v>
      </c>
      <c r="F9" s="7" t="s">
        <v>85</v>
      </c>
      <c r="G9" s="7" t="s">
        <v>66</v>
      </c>
      <c r="H9" s="9"/>
      <c r="I9" s="9" t="s">
        <v>6</v>
      </c>
      <c r="J9" s="9" t="s">
        <v>67</v>
      </c>
      <c r="K9" s="7" t="s">
        <v>86</v>
      </c>
    </row>
    <row r="10" spans="1:11" ht="82" customHeight="1">
      <c r="A10" s="11" t="s">
        <v>87</v>
      </c>
      <c r="B10" s="10" t="s">
        <v>21</v>
      </c>
      <c r="C10" s="10" t="s">
        <v>88</v>
      </c>
      <c r="D10" s="10" t="s">
        <v>89</v>
      </c>
      <c r="E10" s="10" t="s">
        <v>90</v>
      </c>
      <c r="F10" s="10" t="s">
        <v>91</v>
      </c>
      <c r="G10" s="10" t="s">
        <v>66</v>
      </c>
      <c r="H10" s="9"/>
      <c r="I10" s="9" t="s">
        <v>6</v>
      </c>
      <c r="J10" s="9" t="s">
        <v>67</v>
      </c>
      <c r="K10" s="10" t="s">
        <v>92</v>
      </c>
    </row>
    <row r="11" spans="1:11" ht="82" customHeight="1">
      <c r="A11" s="8" t="s">
        <v>93</v>
      </c>
      <c r="B11" s="7" t="s">
        <v>21</v>
      </c>
      <c r="C11" s="7" t="s">
        <v>94</v>
      </c>
      <c r="D11" s="7" t="s">
        <v>95</v>
      </c>
      <c r="E11" s="7" t="s">
        <v>96</v>
      </c>
      <c r="F11" s="7" t="s">
        <v>97</v>
      </c>
      <c r="G11" s="7" t="s">
        <v>66</v>
      </c>
      <c r="H11" s="9"/>
      <c r="I11" s="9" t="s">
        <v>6</v>
      </c>
      <c r="J11" s="9" t="s">
        <v>67</v>
      </c>
      <c r="K11" s="7" t="s">
        <v>98</v>
      </c>
    </row>
    <row r="12" spans="1:11" ht="82" customHeight="1">
      <c r="A12" s="11" t="s">
        <v>99</v>
      </c>
      <c r="B12" s="10" t="s">
        <v>25</v>
      </c>
      <c r="C12" s="10" t="s">
        <v>100</v>
      </c>
      <c r="D12" s="10" t="s">
        <v>101</v>
      </c>
      <c r="E12" s="10" t="s">
        <v>102</v>
      </c>
      <c r="F12" s="10" t="s">
        <v>103</v>
      </c>
      <c r="G12" s="10" t="s">
        <v>66</v>
      </c>
      <c r="H12" s="9"/>
      <c r="I12" s="9" t="s">
        <v>6</v>
      </c>
      <c r="J12" s="9" t="s">
        <v>67</v>
      </c>
      <c r="K12" s="10" t="s">
        <v>104</v>
      </c>
    </row>
    <row r="13" spans="1:11" ht="82" customHeight="1">
      <c r="A13" s="8" t="s">
        <v>105</v>
      </c>
      <c r="B13" s="7" t="s">
        <v>25</v>
      </c>
      <c r="C13" s="7" t="s">
        <v>106</v>
      </c>
      <c r="D13" s="7" t="s">
        <v>107</v>
      </c>
      <c r="E13" s="7" t="s">
        <v>108</v>
      </c>
      <c r="F13" s="7" t="s">
        <v>109</v>
      </c>
      <c r="G13" s="7" t="s">
        <v>66</v>
      </c>
      <c r="H13" s="9"/>
      <c r="I13" s="9" t="s">
        <v>6</v>
      </c>
      <c r="J13" s="9" t="s">
        <v>67</v>
      </c>
      <c r="K13" s="7" t="s">
        <v>110</v>
      </c>
    </row>
    <row r="14" spans="1:11" ht="82" customHeight="1">
      <c r="A14" s="11" t="s">
        <v>111</v>
      </c>
      <c r="B14" s="10" t="s">
        <v>25</v>
      </c>
      <c r="C14" s="10" t="s">
        <v>112</v>
      </c>
      <c r="D14" s="10" t="s">
        <v>113</v>
      </c>
      <c r="E14" s="10" t="s">
        <v>114</v>
      </c>
      <c r="F14" s="10" t="s">
        <v>115</v>
      </c>
      <c r="G14" s="10" t="s">
        <v>66</v>
      </c>
      <c r="H14" s="9"/>
      <c r="I14" s="9" t="s">
        <v>6</v>
      </c>
      <c r="J14" s="9" t="s">
        <v>67</v>
      </c>
      <c r="K14" s="10" t="s">
        <v>116</v>
      </c>
    </row>
    <row r="15" spans="1:11" ht="82" customHeight="1">
      <c r="A15" s="8" t="s">
        <v>117</v>
      </c>
      <c r="B15" s="7" t="s">
        <v>29</v>
      </c>
      <c r="C15" s="7" t="s">
        <v>118</v>
      </c>
      <c r="D15" s="7" t="s">
        <v>119</v>
      </c>
      <c r="E15" s="7" t="s">
        <v>120</v>
      </c>
      <c r="F15" s="7" t="s">
        <v>121</v>
      </c>
      <c r="G15" s="7" t="s">
        <v>122</v>
      </c>
      <c r="H15" s="9"/>
      <c r="I15" s="9" t="s">
        <v>6</v>
      </c>
      <c r="J15" s="9" t="s">
        <v>67</v>
      </c>
      <c r="K15" s="7" t="s">
        <v>123</v>
      </c>
    </row>
    <row r="16" spans="1:11" ht="82" customHeight="1">
      <c r="A16" s="11" t="s">
        <v>124</v>
      </c>
      <c r="B16" s="10" t="s">
        <v>29</v>
      </c>
      <c r="C16" s="10" t="s">
        <v>125</v>
      </c>
      <c r="D16" s="10" t="s">
        <v>126</v>
      </c>
      <c r="E16" s="10" t="s">
        <v>127</v>
      </c>
      <c r="F16" s="10" t="s">
        <v>128</v>
      </c>
      <c r="G16" s="10" t="s">
        <v>122</v>
      </c>
      <c r="H16" s="9"/>
      <c r="I16" s="9" t="s">
        <v>6</v>
      </c>
      <c r="J16" s="9" t="s">
        <v>67</v>
      </c>
      <c r="K16" s="10" t="s">
        <v>129</v>
      </c>
    </row>
    <row r="17" spans="1:11" ht="82" customHeight="1">
      <c r="A17" s="8" t="s">
        <v>130</v>
      </c>
      <c r="B17" s="7" t="s">
        <v>29</v>
      </c>
      <c r="C17" s="7" t="s">
        <v>131</v>
      </c>
      <c r="D17" s="7" t="s">
        <v>132</v>
      </c>
      <c r="E17" s="7" t="s">
        <v>133</v>
      </c>
      <c r="F17" s="7" t="s">
        <v>134</v>
      </c>
      <c r="G17" s="7" t="s">
        <v>122</v>
      </c>
      <c r="H17" s="9"/>
      <c r="I17" s="9" t="s">
        <v>6</v>
      </c>
      <c r="J17" s="9" t="s">
        <v>67</v>
      </c>
      <c r="K17" s="7" t="s">
        <v>135</v>
      </c>
    </row>
    <row r="18" spans="1:11" ht="82" customHeight="1">
      <c r="A18" s="11" t="s">
        <v>136</v>
      </c>
      <c r="B18" s="10" t="s">
        <v>33</v>
      </c>
      <c r="C18" s="10" t="s">
        <v>137</v>
      </c>
      <c r="D18" s="10" t="s">
        <v>138</v>
      </c>
      <c r="E18" s="10" t="s">
        <v>139</v>
      </c>
      <c r="F18" s="10" t="s">
        <v>140</v>
      </c>
      <c r="G18" s="10" t="s">
        <v>66</v>
      </c>
      <c r="H18" s="9"/>
      <c r="I18" s="9" t="s">
        <v>6</v>
      </c>
      <c r="J18" s="9" t="s">
        <v>67</v>
      </c>
      <c r="K18" s="10" t="s">
        <v>141</v>
      </c>
    </row>
    <row r="19" spans="1:11" ht="82" customHeight="1">
      <c r="A19" s="13" t="s">
        <v>142</v>
      </c>
      <c r="B19" s="12" t="s">
        <v>17</v>
      </c>
      <c r="C19" s="12" t="s">
        <v>143</v>
      </c>
      <c r="D19" s="12" t="s">
        <v>144</v>
      </c>
      <c r="E19" s="12" t="s">
        <v>145</v>
      </c>
      <c r="F19" s="12" t="s">
        <v>146</v>
      </c>
      <c r="G19" s="12" t="s">
        <v>66</v>
      </c>
      <c r="H19" s="14"/>
      <c r="I19" s="14" t="s">
        <v>6</v>
      </c>
      <c r="J19" s="14" t="s">
        <v>67</v>
      </c>
      <c r="K19" s="12" t="s">
        <v>147</v>
      </c>
    </row>
  </sheetData>
  <mergeCells count="3">
    <mergeCell ref="A1:K1"/>
    <mergeCell ref="A2:K2"/>
    <mergeCell ref="A3:K3"/>
  </mergeCells>
  <conditionalFormatting sqref="I6:I19">
    <cfRule type="containsText" dxfId="11" priority="1" operator="containsText" text="PASS"/>
    <cfRule type="containsText" dxfId="10" priority="2" operator="containsText" text="WARN"/>
    <cfRule type="containsText" dxfId="9" priority="3" operator="containsText" text="BLOCK"/>
    <cfRule type="containsText" dxfId="8" priority="4" operator="containsText" text="UNKNOWN"/>
    <cfRule type="containsText" dxfId="7" priority="5" operator="containsText" text="N/A"/>
  </conditionalFormatting>
  <conditionalFormatting sqref="J6:J19">
    <cfRule type="containsText" dxfId="6" priority="6" operator="containsText" text="Đã thu thập"/>
    <cfRule type="containsText" dxfId="5" priority="7" operator="containsText" text="Cần làm rõ"/>
  </conditionalFormatting>
  <dataValidations count="3">
    <dataValidation type="list" sqref="G6:G19" xr:uid="{00000000-0002-0000-0100-000000000000}">
      <formula1>"Bắt buộc,Có điều kiện"</formula1>
    </dataValidation>
    <dataValidation type="list" sqref="I6:I19" xr:uid="{00000000-0002-0000-0100-000001000000}">
      <formula1>"PASS,WARN,BLOCK,UNKNOWN,N/A"</formula1>
    </dataValidation>
    <dataValidation type="list" sqref="J6:J19" xr:uid="{00000000-0002-0000-0100-000002000000}">
      <formula1>"Chưa thu thập,Đang thu thập,Đã thu thập,Cần làm rõ,N/A"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showGridLines="0" zoomScale="85" workbookViewId="0">
      <selection sqref="A1:H1"/>
    </sheetView>
  </sheetViews>
  <sheetFormatPr defaultRowHeight="13.7"/>
  <cols>
    <col min="1" max="1" width="5.5546875" customWidth="1"/>
    <col min="2" max="2" width="19.44140625" customWidth="1"/>
    <col min="3" max="3" width="31.109375" customWidth="1"/>
    <col min="4" max="4" width="28.88671875" customWidth="1"/>
    <col min="5" max="5" width="14.44140625" customWidth="1"/>
    <col min="6" max="6" width="12.77734375" customWidth="1"/>
    <col min="7" max="7" width="36.6640625" customWidth="1"/>
    <col min="8" max="8" width="11.109375" customWidth="1"/>
  </cols>
  <sheetData>
    <row r="1" spans="1:8" ht="30" customHeight="1">
      <c r="A1" s="42" t="s">
        <v>382</v>
      </c>
      <c r="B1" s="42"/>
      <c r="C1" s="42"/>
      <c r="D1" s="42"/>
      <c r="E1" s="42"/>
      <c r="F1" s="42"/>
      <c r="G1" s="42"/>
      <c r="H1" s="42"/>
    </row>
    <row r="2" spans="1:8" ht="36" customHeight="1">
      <c r="A2" s="43" t="s">
        <v>148</v>
      </c>
      <c r="B2" s="43"/>
      <c r="C2" s="43"/>
      <c r="D2" s="43"/>
      <c r="E2" s="43"/>
      <c r="F2" s="43"/>
      <c r="G2" s="43"/>
      <c r="H2" s="43"/>
    </row>
    <row r="4" spans="1:8" ht="38" customHeight="1">
      <c r="A4" s="3" t="s">
        <v>149</v>
      </c>
      <c r="B4" s="3" t="s">
        <v>150</v>
      </c>
      <c r="C4" s="3" t="s">
        <v>151</v>
      </c>
      <c r="D4" s="3" t="s">
        <v>152</v>
      </c>
      <c r="E4" s="3" t="s">
        <v>153</v>
      </c>
      <c r="F4" s="3" t="s">
        <v>154</v>
      </c>
      <c r="G4" s="3" t="s">
        <v>155</v>
      </c>
      <c r="H4" s="3" t="s">
        <v>156</v>
      </c>
    </row>
    <row r="5" spans="1:8" ht="58" customHeight="1">
      <c r="A5" s="16">
        <v>1</v>
      </c>
      <c r="B5" s="15" t="s">
        <v>157</v>
      </c>
      <c r="C5" s="15" t="s">
        <v>158</v>
      </c>
      <c r="D5" s="6"/>
      <c r="E5" s="6"/>
      <c r="F5" s="15" t="s">
        <v>159</v>
      </c>
      <c r="G5" s="15" t="s">
        <v>160</v>
      </c>
      <c r="H5" s="6" t="s">
        <v>6</v>
      </c>
    </row>
    <row r="6" spans="1:8" ht="58" customHeight="1">
      <c r="A6" s="17">
        <v>2</v>
      </c>
      <c r="B6" s="7" t="s">
        <v>161</v>
      </c>
      <c r="C6" s="7" t="s">
        <v>162</v>
      </c>
      <c r="D6" s="9"/>
      <c r="E6" s="9"/>
      <c r="F6" s="7" t="s">
        <v>159</v>
      </c>
      <c r="G6" s="7" t="s">
        <v>163</v>
      </c>
      <c r="H6" s="9" t="s">
        <v>6</v>
      </c>
    </row>
    <row r="7" spans="1:8" ht="58" customHeight="1">
      <c r="A7" s="19">
        <v>3</v>
      </c>
      <c r="B7" s="18" t="s">
        <v>164</v>
      </c>
      <c r="C7" s="18" t="s">
        <v>165</v>
      </c>
      <c r="D7" s="9"/>
      <c r="E7" s="9"/>
      <c r="F7" s="18" t="s">
        <v>159</v>
      </c>
      <c r="G7" s="18" t="s">
        <v>166</v>
      </c>
      <c r="H7" s="9" t="s">
        <v>6</v>
      </c>
    </row>
    <row r="8" spans="1:8" ht="58" customHeight="1">
      <c r="A8" s="17">
        <v>4</v>
      </c>
      <c r="B8" s="7" t="s">
        <v>167</v>
      </c>
      <c r="C8" s="7" t="s">
        <v>168</v>
      </c>
      <c r="D8" s="9"/>
      <c r="E8" s="9"/>
      <c r="F8" s="7" t="s">
        <v>169</v>
      </c>
      <c r="G8" s="7" t="s">
        <v>170</v>
      </c>
      <c r="H8" s="9" t="s">
        <v>6</v>
      </c>
    </row>
    <row r="9" spans="1:8" ht="58" customHeight="1">
      <c r="A9" s="19">
        <v>5</v>
      </c>
      <c r="B9" s="18" t="s">
        <v>171</v>
      </c>
      <c r="C9" s="18" t="s">
        <v>172</v>
      </c>
      <c r="D9" s="9"/>
      <c r="E9" s="9"/>
      <c r="F9" s="18" t="s">
        <v>159</v>
      </c>
      <c r="G9" s="18" t="s">
        <v>173</v>
      </c>
      <c r="H9" s="9" t="s">
        <v>6</v>
      </c>
    </row>
    <row r="10" spans="1:8" ht="58" customHeight="1">
      <c r="A10" s="17">
        <v>6</v>
      </c>
      <c r="B10" s="7" t="s">
        <v>174</v>
      </c>
      <c r="C10" s="7" t="s">
        <v>175</v>
      </c>
      <c r="D10" s="9"/>
      <c r="E10" s="9"/>
      <c r="F10" s="7" t="s">
        <v>176</v>
      </c>
      <c r="G10" s="7" t="s">
        <v>177</v>
      </c>
      <c r="H10" s="9" t="s">
        <v>6</v>
      </c>
    </row>
    <row r="11" spans="1:8" ht="58" customHeight="1">
      <c r="A11" s="19">
        <v>7</v>
      </c>
      <c r="B11" s="18" t="s">
        <v>178</v>
      </c>
      <c r="C11" s="18" t="s">
        <v>179</v>
      </c>
      <c r="D11" s="9"/>
      <c r="E11" s="9"/>
      <c r="F11" s="18" t="s">
        <v>176</v>
      </c>
      <c r="G11" s="18" t="s">
        <v>180</v>
      </c>
      <c r="H11" s="9" t="s">
        <v>6</v>
      </c>
    </row>
    <row r="12" spans="1:8" ht="58" customHeight="1">
      <c r="A12" s="17">
        <v>8</v>
      </c>
      <c r="B12" s="7" t="s">
        <v>181</v>
      </c>
      <c r="C12" s="7" t="s">
        <v>182</v>
      </c>
      <c r="D12" s="9"/>
      <c r="E12" s="9"/>
      <c r="F12" s="7" t="s">
        <v>159</v>
      </c>
      <c r="G12" s="7" t="s">
        <v>183</v>
      </c>
      <c r="H12" s="9" t="s">
        <v>6</v>
      </c>
    </row>
    <row r="13" spans="1:8" ht="58" customHeight="1">
      <c r="A13" s="19">
        <v>9</v>
      </c>
      <c r="B13" s="18" t="s">
        <v>184</v>
      </c>
      <c r="C13" s="18" t="s">
        <v>185</v>
      </c>
      <c r="D13" s="9"/>
      <c r="E13" s="9"/>
      <c r="F13" s="18" t="s">
        <v>186</v>
      </c>
      <c r="G13" s="18" t="s">
        <v>187</v>
      </c>
      <c r="H13" s="9" t="s">
        <v>6</v>
      </c>
    </row>
    <row r="14" spans="1:8" ht="58" customHeight="1">
      <c r="A14" s="17">
        <v>10</v>
      </c>
      <c r="B14" s="7" t="s">
        <v>188</v>
      </c>
      <c r="C14" s="7" t="s">
        <v>189</v>
      </c>
      <c r="D14" s="9"/>
      <c r="E14" s="9"/>
      <c r="F14" s="7" t="s">
        <v>186</v>
      </c>
      <c r="G14" s="7" t="s">
        <v>190</v>
      </c>
      <c r="H14" s="9" t="s">
        <v>6</v>
      </c>
    </row>
    <row r="15" spans="1:8" ht="58" customHeight="1">
      <c r="A15" s="19">
        <v>11</v>
      </c>
      <c r="B15" s="18" t="s">
        <v>191</v>
      </c>
      <c r="C15" s="18" t="s">
        <v>192</v>
      </c>
      <c r="D15" s="9"/>
      <c r="E15" s="9"/>
      <c r="F15" s="18" t="s">
        <v>193</v>
      </c>
      <c r="G15" s="18" t="s">
        <v>194</v>
      </c>
      <c r="H15" s="9" t="s">
        <v>6</v>
      </c>
    </row>
    <row r="16" spans="1:8" ht="58" customHeight="1">
      <c r="A16" s="17">
        <v>12</v>
      </c>
      <c r="B16" s="7" t="s">
        <v>195</v>
      </c>
      <c r="C16" s="7" t="s">
        <v>196</v>
      </c>
      <c r="D16" s="9"/>
      <c r="E16" s="9"/>
      <c r="F16" s="7" t="s">
        <v>169</v>
      </c>
      <c r="G16" s="7" t="s">
        <v>197</v>
      </c>
      <c r="H16" s="9" t="s">
        <v>6</v>
      </c>
    </row>
    <row r="17" spans="1:8" ht="58" customHeight="1">
      <c r="A17" s="19">
        <v>13</v>
      </c>
      <c r="B17" s="18" t="s">
        <v>198</v>
      </c>
      <c r="C17" s="18" t="s">
        <v>199</v>
      </c>
      <c r="D17" s="9"/>
      <c r="E17" s="9"/>
      <c r="F17" s="18" t="s">
        <v>169</v>
      </c>
      <c r="G17" s="18" t="s">
        <v>200</v>
      </c>
      <c r="H17" s="9" t="s">
        <v>6</v>
      </c>
    </row>
    <row r="18" spans="1:8" ht="58" customHeight="1">
      <c r="A18" s="17">
        <v>14</v>
      </c>
      <c r="B18" s="7" t="s">
        <v>201</v>
      </c>
      <c r="C18" s="7" t="s">
        <v>202</v>
      </c>
      <c r="D18" s="9"/>
      <c r="E18" s="9"/>
      <c r="F18" s="7" t="s">
        <v>159</v>
      </c>
      <c r="G18" s="7" t="s">
        <v>203</v>
      </c>
      <c r="H18" s="9" t="s">
        <v>6</v>
      </c>
    </row>
    <row r="19" spans="1:8" ht="58" customHeight="1">
      <c r="A19" s="19">
        <v>15</v>
      </c>
      <c r="B19" s="18" t="s">
        <v>204</v>
      </c>
      <c r="C19" s="18" t="s">
        <v>205</v>
      </c>
      <c r="D19" s="9"/>
      <c r="E19" s="9"/>
      <c r="F19" s="18" t="s">
        <v>159</v>
      </c>
      <c r="G19" s="18" t="s">
        <v>206</v>
      </c>
      <c r="H19" s="9" t="s">
        <v>6</v>
      </c>
    </row>
    <row r="20" spans="1:8" ht="58" customHeight="1">
      <c r="A20" s="17">
        <v>16</v>
      </c>
      <c r="B20" s="7" t="s">
        <v>207</v>
      </c>
      <c r="C20" s="7" t="s">
        <v>208</v>
      </c>
      <c r="D20" s="9"/>
      <c r="E20" s="9"/>
      <c r="F20" s="7" t="s">
        <v>209</v>
      </c>
      <c r="G20" s="7" t="s">
        <v>210</v>
      </c>
      <c r="H20" s="9" t="s">
        <v>6</v>
      </c>
    </row>
    <row r="21" spans="1:8" ht="58" customHeight="1">
      <c r="A21" s="19">
        <v>17</v>
      </c>
      <c r="B21" s="18" t="s">
        <v>211</v>
      </c>
      <c r="C21" s="18" t="s">
        <v>212</v>
      </c>
      <c r="D21" s="9"/>
      <c r="E21" s="9"/>
      <c r="F21" s="18" t="s">
        <v>213</v>
      </c>
      <c r="G21" s="18" t="s">
        <v>214</v>
      </c>
      <c r="H21" s="9" t="s">
        <v>6</v>
      </c>
    </row>
    <row r="22" spans="1:8" ht="58" customHeight="1">
      <c r="A22" s="17">
        <v>18</v>
      </c>
      <c r="B22" s="7" t="s">
        <v>215</v>
      </c>
      <c r="C22" s="7" t="s">
        <v>216</v>
      </c>
      <c r="D22" s="9"/>
      <c r="E22" s="9"/>
      <c r="F22" s="7" t="s">
        <v>122</v>
      </c>
      <c r="G22" s="7" t="s">
        <v>217</v>
      </c>
      <c r="H22" s="9" t="s">
        <v>6</v>
      </c>
    </row>
    <row r="23" spans="1:8" ht="58" customHeight="1">
      <c r="A23" s="19">
        <v>19</v>
      </c>
      <c r="B23" s="18" t="s">
        <v>218</v>
      </c>
      <c r="C23" s="18" t="s">
        <v>219</v>
      </c>
      <c r="D23" s="9"/>
      <c r="E23" s="9"/>
      <c r="F23" s="18" t="s">
        <v>122</v>
      </c>
      <c r="G23" s="18" t="s">
        <v>220</v>
      </c>
      <c r="H23" s="9" t="s">
        <v>6</v>
      </c>
    </row>
    <row r="24" spans="1:8" ht="58" customHeight="1">
      <c r="A24" s="17">
        <v>20</v>
      </c>
      <c r="B24" s="7" t="s">
        <v>221</v>
      </c>
      <c r="C24" s="7" t="s">
        <v>222</v>
      </c>
      <c r="D24" s="9"/>
      <c r="E24" s="9"/>
      <c r="F24" s="7" t="s">
        <v>122</v>
      </c>
      <c r="G24" s="7" t="s">
        <v>223</v>
      </c>
      <c r="H24" s="9" t="s">
        <v>6</v>
      </c>
    </row>
    <row r="25" spans="1:8" ht="58" customHeight="1">
      <c r="A25" s="19">
        <v>21</v>
      </c>
      <c r="B25" s="18" t="s">
        <v>224</v>
      </c>
      <c r="C25" s="18" t="s">
        <v>225</v>
      </c>
      <c r="D25" s="9"/>
      <c r="E25" s="9"/>
      <c r="F25" s="18" t="s">
        <v>159</v>
      </c>
      <c r="G25" s="18" t="s">
        <v>226</v>
      </c>
      <c r="H25" s="9" t="s">
        <v>6</v>
      </c>
    </row>
    <row r="26" spans="1:8" ht="58" customHeight="1">
      <c r="A26" s="17">
        <v>22</v>
      </c>
      <c r="B26" s="7" t="s">
        <v>227</v>
      </c>
      <c r="C26" s="7" t="s">
        <v>228</v>
      </c>
      <c r="D26" s="9"/>
      <c r="E26" s="9"/>
      <c r="F26" s="7" t="s">
        <v>159</v>
      </c>
      <c r="G26" s="7" t="s">
        <v>229</v>
      </c>
      <c r="H26" s="9" t="s">
        <v>6</v>
      </c>
    </row>
    <row r="27" spans="1:8" ht="58" customHeight="1">
      <c r="A27" s="19">
        <v>23</v>
      </c>
      <c r="B27" s="18" t="s">
        <v>230</v>
      </c>
      <c r="C27" s="18" t="s">
        <v>231</v>
      </c>
      <c r="D27" s="9"/>
      <c r="E27" s="9"/>
      <c r="F27" s="18" t="s">
        <v>213</v>
      </c>
      <c r="G27" s="18" t="s">
        <v>232</v>
      </c>
      <c r="H27" s="9" t="s">
        <v>6</v>
      </c>
    </row>
    <row r="28" spans="1:8" ht="58" customHeight="1">
      <c r="A28" s="20">
        <v>24</v>
      </c>
      <c r="B28" s="12" t="s">
        <v>233</v>
      </c>
      <c r="C28" s="12" t="s">
        <v>234</v>
      </c>
      <c r="D28" s="14"/>
      <c r="E28" s="14"/>
      <c r="F28" s="12" t="s">
        <v>235</v>
      </c>
      <c r="G28" s="12" t="s">
        <v>236</v>
      </c>
      <c r="H28" s="14" t="s">
        <v>6</v>
      </c>
    </row>
  </sheetData>
  <mergeCells count="2">
    <mergeCell ref="A1:H1"/>
    <mergeCell ref="A2:H2"/>
  </mergeCells>
  <conditionalFormatting sqref="H5:H28">
    <cfRule type="containsText" dxfId="4" priority="1" operator="containsText" text="PASS"/>
    <cfRule type="containsText" dxfId="3" priority="2" operator="containsText" text="WARN"/>
    <cfRule type="containsText" dxfId="2" priority="3" operator="containsText" text="BLOCK"/>
    <cfRule type="containsText" dxfId="1" priority="4" operator="containsText" text="UNKNOWN"/>
    <cfRule type="containsText" dxfId="0" priority="5" operator="containsText" text="N/A"/>
  </conditionalFormatting>
  <dataValidations count="1">
    <dataValidation type="list" sqref="H5:H28" xr:uid="{00000000-0002-0000-0200-000000000000}">
      <formula1>"PASS,WARN,BLOCK,UNKNOWN,N/A"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showGridLines="0" workbookViewId="0"/>
  </sheetViews>
  <sheetFormatPr defaultRowHeight="13.7"/>
  <cols>
    <col min="1" max="1" width="8.88671875" customWidth="1"/>
    <col min="2" max="2" width="17.21875" customWidth="1"/>
    <col min="3" max="3" width="43.33203125" customWidth="1"/>
    <col min="4" max="4" width="22.77734375" customWidth="1"/>
    <col min="5" max="5" width="33.33203125" customWidth="1"/>
  </cols>
  <sheetData>
    <row r="1" spans="1:5" ht="30" customHeight="1">
      <c r="A1" s="42" t="s">
        <v>237</v>
      </c>
      <c r="B1" s="42"/>
      <c r="C1" s="42"/>
      <c r="D1" s="42"/>
      <c r="E1" s="42"/>
    </row>
    <row r="2" spans="1:5" ht="36" customHeight="1">
      <c r="A2" s="43" t="s">
        <v>238</v>
      </c>
      <c r="B2" s="43"/>
      <c r="C2" s="43"/>
      <c r="D2" s="43"/>
      <c r="E2" s="43"/>
    </row>
    <row r="4" spans="1:5" ht="24" customHeight="1">
      <c r="A4" s="58" t="s">
        <v>239</v>
      </c>
      <c r="B4" s="58"/>
      <c r="C4" s="58"/>
      <c r="D4" s="58"/>
      <c r="E4" s="58"/>
    </row>
    <row r="5" spans="1:5" ht="38" customHeight="1">
      <c r="A5" s="21" t="s">
        <v>240</v>
      </c>
      <c r="B5" s="21" t="s">
        <v>241</v>
      </c>
      <c r="C5" s="21" t="s">
        <v>242</v>
      </c>
      <c r="D5" s="21" t="s">
        <v>243</v>
      </c>
      <c r="E5" s="21" t="s">
        <v>244</v>
      </c>
    </row>
    <row r="6" spans="1:5" ht="66" customHeight="1">
      <c r="A6" s="23" t="s">
        <v>245</v>
      </c>
      <c r="B6" s="22" t="s">
        <v>246</v>
      </c>
      <c r="C6" s="22" t="s">
        <v>247</v>
      </c>
      <c r="D6" s="22" t="s">
        <v>248</v>
      </c>
      <c r="E6" s="22" t="s">
        <v>249</v>
      </c>
    </row>
    <row r="7" spans="1:5" ht="66" customHeight="1">
      <c r="A7" s="25" t="s">
        <v>250</v>
      </c>
      <c r="B7" s="24" t="s">
        <v>251</v>
      </c>
      <c r="C7" s="24" t="s">
        <v>252</v>
      </c>
      <c r="D7" s="24" t="s">
        <v>253</v>
      </c>
      <c r="E7" s="24" t="s">
        <v>254</v>
      </c>
    </row>
    <row r="8" spans="1:5" ht="66" customHeight="1">
      <c r="A8" s="26" t="s">
        <v>255</v>
      </c>
      <c r="B8" s="7" t="s">
        <v>256</v>
      </c>
      <c r="C8" s="7" t="s">
        <v>257</v>
      </c>
      <c r="D8" s="7" t="s">
        <v>258</v>
      </c>
      <c r="E8" s="7" t="s">
        <v>259</v>
      </c>
    </row>
    <row r="9" spans="1:5" ht="66" customHeight="1">
      <c r="A9" s="25" t="s">
        <v>260</v>
      </c>
      <c r="B9" s="24" t="s">
        <v>261</v>
      </c>
      <c r="C9" s="24" t="s">
        <v>262</v>
      </c>
      <c r="D9" s="24" t="s">
        <v>263</v>
      </c>
      <c r="E9" s="24" t="s">
        <v>264</v>
      </c>
    </row>
    <row r="10" spans="1:5" ht="66" customHeight="1">
      <c r="A10" s="26" t="s">
        <v>265</v>
      </c>
      <c r="B10" s="7" t="s">
        <v>266</v>
      </c>
      <c r="C10" s="7" t="s">
        <v>267</v>
      </c>
      <c r="D10" s="7" t="s">
        <v>268</v>
      </c>
      <c r="E10" s="7" t="s">
        <v>269</v>
      </c>
    </row>
    <row r="11" spans="1:5" ht="66" customHeight="1">
      <c r="A11" s="25" t="s">
        <v>270</v>
      </c>
      <c r="B11" s="24" t="s">
        <v>271</v>
      </c>
      <c r="C11" s="24" t="s">
        <v>272</v>
      </c>
      <c r="D11" s="24" t="s">
        <v>268</v>
      </c>
      <c r="E11" s="24" t="s">
        <v>273</v>
      </c>
    </row>
    <row r="12" spans="1:5" ht="66" customHeight="1">
      <c r="A12" s="26" t="s">
        <v>274</v>
      </c>
      <c r="B12" s="7" t="s">
        <v>275</v>
      </c>
      <c r="C12" s="7" t="s">
        <v>276</v>
      </c>
      <c r="D12" s="7" t="s">
        <v>277</v>
      </c>
      <c r="E12" s="7" t="s">
        <v>278</v>
      </c>
    </row>
    <row r="13" spans="1:5" ht="66" customHeight="1">
      <c r="A13" s="25" t="s">
        <v>279</v>
      </c>
      <c r="B13" s="24" t="s">
        <v>280</v>
      </c>
      <c r="C13" s="24" t="s">
        <v>281</v>
      </c>
      <c r="D13" s="24" t="s">
        <v>282</v>
      </c>
      <c r="E13" s="24" t="s">
        <v>283</v>
      </c>
    </row>
    <row r="14" spans="1:5" ht="66" customHeight="1">
      <c r="A14" s="26" t="s">
        <v>284</v>
      </c>
      <c r="B14" s="7" t="s">
        <v>285</v>
      </c>
      <c r="C14" s="7" t="s">
        <v>286</v>
      </c>
      <c r="D14" s="7" t="s">
        <v>287</v>
      </c>
      <c r="E14" s="7" t="s">
        <v>288</v>
      </c>
    </row>
    <row r="15" spans="1:5" ht="66" customHeight="1">
      <c r="A15" s="28" t="s">
        <v>289</v>
      </c>
      <c r="B15" s="27" t="s">
        <v>290</v>
      </c>
      <c r="C15" s="27" t="s">
        <v>291</v>
      </c>
      <c r="D15" s="27" t="s">
        <v>292</v>
      </c>
      <c r="E15" s="27" t="s">
        <v>293</v>
      </c>
    </row>
    <row r="17" spans="1:5" ht="24" customHeight="1">
      <c r="A17" s="63" t="s">
        <v>294</v>
      </c>
      <c r="B17" s="63"/>
      <c r="C17" s="63"/>
      <c r="D17" s="63"/>
      <c r="E17" s="63"/>
    </row>
    <row r="18" spans="1:5" ht="38" customHeight="1">
      <c r="A18" s="29" t="s">
        <v>295</v>
      </c>
      <c r="B18" s="29" t="s">
        <v>296</v>
      </c>
      <c r="C18" s="29" t="s">
        <v>297</v>
      </c>
      <c r="D18" s="29" t="s">
        <v>298</v>
      </c>
      <c r="E18" s="29" t="s">
        <v>299</v>
      </c>
    </row>
    <row r="19" spans="1:5" ht="48" customHeight="1">
      <c r="A19" s="30" t="s">
        <v>300</v>
      </c>
      <c r="B19" s="31" t="s">
        <v>301</v>
      </c>
      <c r="C19" s="30" t="s">
        <v>302</v>
      </c>
      <c r="D19" s="30" t="s">
        <v>303</v>
      </c>
      <c r="E19" s="30" t="s">
        <v>304</v>
      </c>
    </row>
    <row r="20" spans="1:5" ht="48" customHeight="1">
      <c r="A20" s="7" t="s">
        <v>305</v>
      </c>
      <c r="B20" s="32" t="s">
        <v>301</v>
      </c>
      <c r="C20" s="7" t="s">
        <v>306</v>
      </c>
      <c r="D20" s="7" t="s">
        <v>307</v>
      </c>
      <c r="E20" s="7" t="s">
        <v>308</v>
      </c>
    </row>
    <row r="21" spans="1:5" ht="48" customHeight="1">
      <c r="A21" s="33" t="s">
        <v>309</v>
      </c>
      <c r="B21" s="34" t="s">
        <v>301</v>
      </c>
      <c r="C21" s="33" t="s">
        <v>310</v>
      </c>
      <c r="D21" s="33" t="s">
        <v>311</v>
      </c>
      <c r="E21" s="33" t="s">
        <v>312</v>
      </c>
    </row>
    <row r="22" spans="1:5" ht="48" customHeight="1">
      <c r="A22" s="7" t="s">
        <v>313</v>
      </c>
      <c r="B22" s="32" t="s">
        <v>314</v>
      </c>
      <c r="C22" s="7" t="s">
        <v>315</v>
      </c>
      <c r="D22" s="7" t="s">
        <v>316</v>
      </c>
      <c r="E22" s="7" t="s">
        <v>317</v>
      </c>
    </row>
    <row r="23" spans="1:5" ht="48" customHeight="1">
      <c r="A23" s="33" t="s">
        <v>318</v>
      </c>
      <c r="B23" s="34" t="s">
        <v>301</v>
      </c>
      <c r="C23" s="33" t="s">
        <v>319</v>
      </c>
      <c r="D23" s="33" t="s">
        <v>320</v>
      </c>
      <c r="E23" s="33" t="s">
        <v>321</v>
      </c>
    </row>
    <row r="24" spans="1:5" ht="48" customHeight="1">
      <c r="A24" s="7" t="s">
        <v>322</v>
      </c>
      <c r="B24" s="32" t="s">
        <v>323</v>
      </c>
      <c r="C24" s="7" t="s">
        <v>324</v>
      </c>
      <c r="D24" s="7" t="s">
        <v>325</v>
      </c>
      <c r="E24" s="7" t="s">
        <v>326</v>
      </c>
    </row>
    <row r="25" spans="1:5" ht="48" customHeight="1">
      <c r="A25" s="33" t="s">
        <v>327</v>
      </c>
      <c r="B25" s="34" t="s">
        <v>301</v>
      </c>
      <c r="C25" s="33" t="s">
        <v>328</v>
      </c>
      <c r="D25" s="33" t="s">
        <v>329</v>
      </c>
      <c r="E25" s="33" t="s">
        <v>330</v>
      </c>
    </row>
    <row r="26" spans="1:5" ht="48" customHeight="1">
      <c r="A26" s="7" t="s">
        <v>331</v>
      </c>
      <c r="B26" s="32" t="s">
        <v>323</v>
      </c>
      <c r="C26" s="7" t="s">
        <v>332</v>
      </c>
      <c r="D26" s="7" t="s">
        <v>333</v>
      </c>
      <c r="E26" s="7" t="s">
        <v>334</v>
      </c>
    </row>
    <row r="27" spans="1:5" ht="48" customHeight="1">
      <c r="A27" s="33" t="s">
        <v>335</v>
      </c>
      <c r="B27" s="34" t="s">
        <v>301</v>
      </c>
      <c r="C27" s="33" t="s">
        <v>336</v>
      </c>
      <c r="D27" s="33" t="s">
        <v>337</v>
      </c>
      <c r="E27" s="33" t="s">
        <v>338</v>
      </c>
    </row>
    <row r="28" spans="1:5" ht="48" customHeight="1">
      <c r="A28" s="7" t="s">
        <v>339</v>
      </c>
      <c r="B28" s="32" t="s">
        <v>323</v>
      </c>
      <c r="C28" s="7" t="s">
        <v>340</v>
      </c>
      <c r="D28" s="7" t="s">
        <v>341</v>
      </c>
      <c r="E28" s="7" t="s">
        <v>342</v>
      </c>
    </row>
    <row r="29" spans="1:5" ht="48" customHeight="1">
      <c r="A29" s="35" t="s">
        <v>343</v>
      </c>
      <c r="B29" s="36" t="s">
        <v>323</v>
      </c>
      <c r="C29" s="35" t="s">
        <v>344</v>
      </c>
      <c r="D29" s="35" t="s">
        <v>345</v>
      </c>
      <c r="E29" s="35" t="s">
        <v>346</v>
      </c>
    </row>
    <row r="31" spans="1:5" ht="24" customHeight="1">
      <c r="A31" s="62" t="s">
        <v>347</v>
      </c>
      <c r="B31" s="62"/>
      <c r="C31" s="62"/>
      <c r="D31" s="62"/>
      <c r="E31" s="62"/>
    </row>
    <row r="32" spans="1:5" ht="38" customHeight="1">
      <c r="A32" s="3" t="s">
        <v>52</v>
      </c>
      <c r="B32" s="3" t="s">
        <v>301</v>
      </c>
      <c r="C32" s="3" t="s">
        <v>348</v>
      </c>
      <c r="D32" s="3" t="s">
        <v>349</v>
      </c>
      <c r="E32" s="3" t="s">
        <v>350</v>
      </c>
    </row>
    <row r="33" spans="1:5" ht="46" customHeight="1">
      <c r="A33" s="15" t="s">
        <v>351</v>
      </c>
      <c r="B33" s="15" t="s">
        <v>352</v>
      </c>
      <c r="C33" s="15" t="s">
        <v>353</v>
      </c>
      <c r="D33" s="37" t="s">
        <v>354</v>
      </c>
      <c r="E33" s="15" t="s">
        <v>355</v>
      </c>
    </row>
    <row r="34" spans="1:5" ht="46" customHeight="1">
      <c r="A34" s="7" t="s">
        <v>356</v>
      </c>
      <c r="B34" s="7" t="s">
        <v>352</v>
      </c>
      <c r="C34" s="7" t="s">
        <v>357</v>
      </c>
      <c r="D34" s="38" t="s">
        <v>358</v>
      </c>
      <c r="E34" s="7" t="s">
        <v>359</v>
      </c>
    </row>
    <row r="35" spans="1:5" ht="46" customHeight="1">
      <c r="A35" s="18" t="s">
        <v>360</v>
      </c>
      <c r="B35" s="18" t="s">
        <v>361</v>
      </c>
      <c r="C35" s="18" t="s">
        <v>362</v>
      </c>
      <c r="D35" s="39" t="s">
        <v>363</v>
      </c>
      <c r="E35" s="18" t="s">
        <v>364</v>
      </c>
    </row>
    <row r="36" spans="1:5" ht="46" customHeight="1">
      <c r="A36" s="7" t="s">
        <v>365</v>
      </c>
      <c r="B36" s="7" t="s">
        <v>361</v>
      </c>
      <c r="C36" s="7" t="s">
        <v>366</v>
      </c>
      <c r="D36" s="38" t="s">
        <v>367</v>
      </c>
      <c r="E36" s="7" t="s">
        <v>368</v>
      </c>
    </row>
    <row r="37" spans="1:5" ht="46" customHeight="1">
      <c r="A37" s="18" t="s">
        <v>369</v>
      </c>
      <c r="B37" s="18" t="s">
        <v>361</v>
      </c>
      <c r="C37" s="18" t="s">
        <v>370</v>
      </c>
      <c r="D37" s="39" t="s">
        <v>371</v>
      </c>
      <c r="E37" s="18" t="s">
        <v>372</v>
      </c>
    </row>
    <row r="38" spans="1:5" ht="46" customHeight="1">
      <c r="A38" s="7" t="s">
        <v>373</v>
      </c>
      <c r="B38" s="7" t="s">
        <v>361</v>
      </c>
      <c r="C38" s="7" t="s">
        <v>374</v>
      </c>
      <c r="D38" s="38" t="s">
        <v>375</v>
      </c>
      <c r="E38" s="7" t="s">
        <v>376</v>
      </c>
    </row>
    <row r="39" spans="1:5" ht="46" customHeight="1">
      <c r="A39" s="40" t="s">
        <v>377</v>
      </c>
      <c r="B39" s="40" t="s">
        <v>361</v>
      </c>
      <c r="C39" s="40" t="s">
        <v>378</v>
      </c>
      <c r="D39" s="41" t="s">
        <v>379</v>
      </c>
      <c r="E39" s="40" t="s">
        <v>380</v>
      </c>
    </row>
  </sheetData>
  <mergeCells count="5">
    <mergeCell ref="A1:E1"/>
    <mergeCell ref="A2:E2"/>
    <mergeCell ref="A4:E4"/>
    <mergeCell ref="A17:E17"/>
    <mergeCell ref="A31:E31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quan</vt:lpstr>
      <vt:lpstr>plan</vt:lpstr>
      <vt:lpstr>Mau ket qua As-Is</vt:lpstr>
      <vt:lpstr>Lenh va nguon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Nguyen Hai Dang 20226020</cp:lastModifiedBy>
  <dcterms:modified xsi:type="dcterms:W3CDTF">2026-08-24T02:34:19Z</dcterms:modified>
</cp:coreProperties>
</file>